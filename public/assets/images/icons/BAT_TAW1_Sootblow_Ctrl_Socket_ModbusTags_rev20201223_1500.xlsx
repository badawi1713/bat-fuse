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 defaultThemeVersion="124226"/>
  <bookViews>
    <workbookView xWindow="240" yWindow="60" windowWidth="20055" windowHeight="7950" activeTab="1"/>
  </bookViews>
  <sheets>
    <sheet name="RW_HOLDING_REGISTER" sheetId="4" r:id="rId1"/>
    <sheet name="READ DISCRETE INPUT" sheetId="1" r:id="rId2"/>
    <sheet name="RULES" sheetId="3" r:id="rId3"/>
    <sheet name="Ref.Val" sheetId="2" r:id="rId4"/>
  </sheets>
  <calcPr calcId="124519"/>
</workbook>
</file>

<file path=xl/calcChain.xml><?xml version="1.0" encoding="utf-8"?>
<calcChain xmlns="http://schemas.openxmlformats.org/spreadsheetml/2006/main">
  <c r="L10" i="2"/>
  <c r="N10"/>
  <c r="L16"/>
  <c r="M16"/>
  <c r="L17"/>
  <c r="M17"/>
  <c r="L18"/>
  <c r="N18"/>
  <c r="L19"/>
  <c r="N19"/>
  <c r="L20"/>
  <c r="M20"/>
  <c r="L21"/>
  <c r="M21"/>
  <c r="L22"/>
  <c r="N22"/>
  <c r="L23"/>
  <c r="N23"/>
  <c r="L24"/>
  <c r="M24"/>
  <c r="L25"/>
  <c r="M25"/>
  <c r="L26"/>
  <c r="N26"/>
  <c r="L27"/>
  <c r="N27"/>
  <c r="L28"/>
  <c r="M28"/>
  <c r="L29"/>
  <c r="M29"/>
  <c r="L30"/>
  <c r="N30"/>
  <c r="L31"/>
  <c r="N31"/>
  <c r="L33"/>
  <c r="M33"/>
  <c r="L35"/>
  <c r="M35"/>
  <c r="L36"/>
  <c r="M36"/>
  <c r="L37"/>
  <c r="M37"/>
  <c r="L38"/>
  <c r="N38"/>
  <c r="L39"/>
  <c r="N39"/>
  <c r="L40"/>
  <c r="M40"/>
  <c r="L41"/>
  <c r="M41"/>
  <c r="L42"/>
  <c r="N42"/>
  <c r="F21" i="4" l="1"/>
  <c r="F12"/>
  <c r="F13" s="1"/>
  <c r="F14" s="1"/>
  <c r="F15" s="1"/>
  <c r="F16" s="1"/>
  <c r="F17" s="1"/>
  <c r="F18" s="1"/>
  <c r="F19" s="1"/>
  <c r="F20" s="1"/>
  <c r="F11"/>
  <c r="F10"/>
  <c r="F9"/>
  <c r="F8"/>
  <c r="F7"/>
  <c r="F6"/>
  <c r="C145" i="1"/>
  <c r="C146" s="1"/>
  <c r="C147" s="1"/>
  <c r="C148" s="1"/>
  <c r="C149" s="1"/>
  <c r="C150" s="1"/>
  <c r="C151" s="1"/>
  <c r="C152" s="1"/>
  <c r="C153" s="1"/>
  <c r="C154" s="1"/>
  <c r="C155" s="1"/>
  <c r="C156" s="1"/>
  <c r="C157" s="1"/>
  <c r="C158" s="1"/>
  <c r="C144"/>
  <c r="C140"/>
  <c r="C141" s="1"/>
  <c r="C142" s="1"/>
  <c r="C66"/>
  <c r="C64"/>
  <c r="C54"/>
  <c r="C55" s="1"/>
  <c r="C56" s="1"/>
  <c r="C57" s="1"/>
  <c r="C58" s="1"/>
  <c r="C59" s="1"/>
  <c r="C60" s="1"/>
  <c r="C61" s="1"/>
  <c r="C62" s="1"/>
  <c r="C53"/>
  <c r="C52"/>
  <c r="C51"/>
  <c r="C50"/>
  <c r="C49"/>
  <c r="C48"/>
  <c r="C45"/>
  <c r="C43"/>
  <c r="C27"/>
  <c r="C28" s="1"/>
  <c r="C29" s="1"/>
  <c r="C30" s="1"/>
  <c r="C31" s="1"/>
  <c r="C32" s="1"/>
  <c r="C33" s="1"/>
  <c r="C34" s="1"/>
  <c r="C35" s="1"/>
  <c r="C36" s="1"/>
  <c r="C37" s="1"/>
  <c r="C38" s="1"/>
  <c r="C39" s="1"/>
  <c r="C40" s="1"/>
  <c r="C41" s="1"/>
</calcChain>
</file>

<file path=xl/sharedStrings.xml><?xml version="1.0" encoding="utf-8"?>
<sst xmlns="http://schemas.openxmlformats.org/spreadsheetml/2006/main" count="986" uniqueCount="635">
  <si>
    <t>No.</t>
  </si>
  <si>
    <t>DCS READ DISCRETE INPUTS</t>
  </si>
  <si>
    <t>LABEL</t>
  </si>
  <si>
    <t>PLC ADDRESS</t>
  </si>
  <si>
    <t>MODBUS ADDRESS</t>
  </si>
  <si>
    <t>FURNACE WALL (FRONT)</t>
  </si>
  <si>
    <t>DI_bypassed_101</t>
  </si>
  <si>
    <t>10HCB11 AT001 bypassed</t>
  </si>
  <si>
    <t>Binary</t>
  </si>
  <si>
    <t>DI_bypassed_102</t>
  </si>
  <si>
    <t>10HCB11 AT002 bypassed</t>
  </si>
  <si>
    <t>DI_bypassed_103</t>
  </si>
  <si>
    <t>10HCB11 AT003 bypassed</t>
  </si>
  <si>
    <t>DI_bypassed_104</t>
  </si>
  <si>
    <t>10HCB11 AT004 bypassed</t>
  </si>
  <si>
    <t>DI_bypassed_105</t>
  </si>
  <si>
    <t>10HCB11 AT005 bypassed</t>
  </si>
  <si>
    <t>DI_bypassed_106</t>
  </si>
  <si>
    <t>10HCB11 AT006 bypassed</t>
  </si>
  <si>
    <t>DI_bypassed_107</t>
  </si>
  <si>
    <t>10HCB11 AT007 bypassed</t>
  </si>
  <si>
    <t>DI_bypassed_108</t>
  </si>
  <si>
    <t>10HCB11 AT008 bypassed</t>
  </si>
  <si>
    <t>DI_bypassed_109</t>
  </si>
  <si>
    <t>10HCB11 AT009 bypassed</t>
  </si>
  <si>
    <t>DI_bypassed_110</t>
  </si>
  <si>
    <t>10HCB11 AT010 bypassed</t>
  </si>
  <si>
    <t>DI_bypassed_111</t>
  </si>
  <si>
    <t>10HCB11 AT011 bypassed</t>
  </si>
  <si>
    <t>DI_bypassed_112</t>
  </si>
  <si>
    <t>10HCB11 AT012 bypassed</t>
  </si>
  <si>
    <t>DI_bypassed_113</t>
  </si>
  <si>
    <t>10HCB11 AT013 bypassed</t>
  </si>
  <si>
    <t>DI_bypassed_114</t>
  </si>
  <si>
    <t>10HCB11 AT014 bypassed</t>
  </si>
  <si>
    <t>DI_bypassed_115</t>
  </si>
  <si>
    <t>10HCB11 AT015 bypassed</t>
  </si>
  <si>
    <t>DI_bypassed_116</t>
  </si>
  <si>
    <t>10HCB11 AT016 bypassed</t>
  </si>
  <si>
    <t>DI_bypassed_117</t>
  </si>
  <si>
    <t>10HCB11 AT017 bypassed</t>
  </si>
  <si>
    <t>DI_bypassed_118</t>
  </si>
  <si>
    <t>10HCB11 AT018 bypassed</t>
  </si>
  <si>
    <t>DI_bypassed_119</t>
  </si>
  <si>
    <t>10HCB11 AT019 bypassed</t>
  </si>
  <si>
    <t>DI_bypassed_120</t>
  </si>
  <si>
    <t>10HCB11 AT020 bypassed</t>
  </si>
  <si>
    <t>DESCRIPTION</t>
  </si>
  <si>
    <t>TYPE</t>
  </si>
  <si>
    <t>FURNACE WALL (LEFT)</t>
  </si>
  <si>
    <t>DI_bypassed_301</t>
  </si>
  <si>
    <t>10HCB13 AT001 bypassed</t>
  </si>
  <si>
    <t>DI_bypassed_302</t>
  </si>
  <si>
    <t>10HCB13 AT002 bypassed</t>
  </si>
  <si>
    <t>DI_bypassed_303</t>
  </si>
  <si>
    <t>10HCB13 AT003 bypassed</t>
  </si>
  <si>
    <t>DI_bypassed_304</t>
  </si>
  <si>
    <t>10HCB13 AT004 bypassed</t>
  </si>
  <si>
    <t>DI_bypassed_305</t>
  </si>
  <si>
    <t>10HCB13 AT005 bypassed</t>
  </si>
  <si>
    <t>DI_bypassed_306</t>
  </si>
  <si>
    <t>10HCB13 AT006 bypassed</t>
  </si>
  <si>
    <t>DI_bypassed_307</t>
  </si>
  <si>
    <t>10HCB13 AT007 bypassed</t>
  </si>
  <si>
    <t>DI_bypassed_308</t>
  </si>
  <si>
    <t>10HCB13 AT008 bypassed</t>
  </si>
  <si>
    <t>DI_bypassed_309</t>
  </si>
  <si>
    <t>10HCB13 AT009 bypassed</t>
  </si>
  <si>
    <t>DI_bypassed_310</t>
  </si>
  <si>
    <t>10HCB13 AT010 bypassed</t>
  </si>
  <si>
    <t>DI_bypassed_311</t>
  </si>
  <si>
    <t>10HCB13 AT011 bypassed</t>
  </si>
  <si>
    <t>DI_bypassed_312</t>
  </si>
  <si>
    <t>10HCB13 AT012 bypassed</t>
  </si>
  <si>
    <t>DI_bypassed_313</t>
  </si>
  <si>
    <t>10HCB13 AT013 bypassed</t>
  </si>
  <si>
    <t>DI_bypassed_314</t>
  </si>
  <si>
    <t>10HCB13 AT014 bypassed</t>
  </si>
  <si>
    <t>DI_bypassed_315</t>
  </si>
  <si>
    <t>10HCB13 AT015 bypassed</t>
  </si>
  <si>
    <t>DI_bypassed_316</t>
  </si>
  <si>
    <t>10HCB13 AT016 bypassed</t>
  </si>
  <si>
    <t>DI_bypassed_317</t>
  </si>
  <si>
    <t>10HCB13 AT017 bypassed</t>
  </si>
  <si>
    <t>DI_bypassed_318</t>
  </si>
  <si>
    <t>10HCB13 AT018 bypassed</t>
  </si>
  <si>
    <t>DI_bypassed_319</t>
  </si>
  <si>
    <t>10HCB13 AT019 bypassed</t>
  </si>
  <si>
    <t>DI_bypassed_320</t>
  </si>
  <si>
    <t>10HCB13 AT020 bypassed</t>
  </si>
  <si>
    <t>FURNACE WALL (RIGHT)</t>
  </si>
  <si>
    <t>DI_bypassed_401</t>
  </si>
  <si>
    <t>10HCB14 AT001 bypassed</t>
  </si>
  <si>
    <t>DI_bypassed_402</t>
  </si>
  <si>
    <t>10HCB14 AT002 bypassed</t>
  </si>
  <si>
    <t>DI_bypassed_403</t>
  </si>
  <si>
    <t>10HCB14 AT003 bypassed</t>
  </si>
  <si>
    <t>DI_bypassed_404</t>
  </si>
  <si>
    <t>10HCB14 AT004 bypassed</t>
  </si>
  <si>
    <t>DI_bypassed_405</t>
  </si>
  <si>
    <t>10HCB14 AT005 bypassed</t>
  </si>
  <si>
    <t>DI_bypassed_406</t>
  </si>
  <si>
    <t>10HCB14 AT006 bypassed</t>
  </si>
  <si>
    <t>DI_bypassed_407</t>
  </si>
  <si>
    <t>10HCB14 AT007 bypassed</t>
  </si>
  <si>
    <t>DI_bypassed_408</t>
  </si>
  <si>
    <t>10HCB14 AT008 bypassed</t>
  </si>
  <si>
    <t>DI_bypassed_409</t>
  </si>
  <si>
    <t>10HCB14 AT009 bypassed</t>
  </si>
  <si>
    <t>DI_bypassed_410</t>
  </si>
  <si>
    <t>10HCB14 AT010 bypassed</t>
  </si>
  <si>
    <t>DI_bypassed_411</t>
  </si>
  <si>
    <t>10HCB14 AT011 bypassed</t>
  </si>
  <si>
    <t>DI_bypassed_412</t>
  </si>
  <si>
    <t>10HCB14 AT012 bypassed</t>
  </si>
  <si>
    <t>DI_bypassed_413</t>
  </si>
  <si>
    <t>10HCB14 AT013 bypassed</t>
  </si>
  <si>
    <t>DI_bypassed_414</t>
  </si>
  <si>
    <t>10HCB14 AT014 bypassed</t>
  </si>
  <si>
    <t>DI_bypassed_415</t>
  </si>
  <si>
    <t>10HCB14 AT015 bypassed</t>
  </si>
  <si>
    <t>DI_bypassed_416</t>
  </si>
  <si>
    <t>10HCB14 AT016 bypassed</t>
  </si>
  <si>
    <t>DI_bypassed_417</t>
  </si>
  <si>
    <t>10HCB14 AT017 bypassed</t>
  </si>
  <si>
    <t>DI_bypassed_418</t>
  </si>
  <si>
    <t>10HCB14 AT018 bypassed</t>
  </si>
  <si>
    <t>DI_bypassed_419</t>
  </si>
  <si>
    <t>10HCB14 AT019 bypassed</t>
  </si>
  <si>
    <t>DI_bypassed_420</t>
  </si>
  <si>
    <t>10HCB14 AT020 bypassed</t>
  </si>
  <si>
    <t>FURNACE WALL (BACK)</t>
  </si>
  <si>
    <t>DI_bypassed_201</t>
  </si>
  <si>
    <t>10HCB12 AT001 bypassed</t>
  </si>
  <si>
    <t>DI_bypassed_202</t>
  </si>
  <si>
    <t>10HCB12 AT002 bypassed</t>
  </si>
  <si>
    <t>DI_bypassed_203</t>
  </si>
  <si>
    <t>10HCB12 AT003 bypassed</t>
  </si>
  <si>
    <t>DI_bypassed_204</t>
  </si>
  <si>
    <t>10HCB12 AT004 bypassed</t>
  </si>
  <si>
    <t>DI_bypassed_205</t>
  </si>
  <si>
    <t>10HCB12 AT005 bypassed</t>
  </si>
  <si>
    <t>DI_bypassed_206</t>
  </si>
  <si>
    <t>10HCB12 AT006 bypassed</t>
  </si>
  <si>
    <t>DI_bypassed_207</t>
  </si>
  <si>
    <t>10HCB12 AT007 bypassed</t>
  </si>
  <si>
    <t>DI_bypassed_208</t>
  </si>
  <si>
    <t>10HCB12 AT008 bypassed</t>
  </si>
  <si>
    <t>DI_bypassed_209</t>
  </si>
  <si>
    <t>10HCB12 AT009 bypassed</t>
  </si>
  <si>
    <t>DI_bypassed_210</t>
  </si>
  <si>
    <t>10HCB12 AT010 bypassed</t>
  </si>
  <si>
    <t>DI_bypassed_211</t>
  </si>
  <si>
    <t>10HCB12 AT011 bypassed</t>
  </si>
  <si>
    <t>DI_bypassed_212</t>
  </si>
  <si>
    <t>10HCB12 AT012 bypassed</t>
  </si>
  <si>
    <t>DI_bypassed_213</t>
  </si>
  <si>
    <t>10HCB12 AT013 bypassed</t>
  </si>
  <si>
    <t>DI_bypassed_214</t>
  </si>
  <si>
    <t>10HCB12 AT014 bypassed</t>
  </si>
  <si>
    <t>DI_bypassed_215</t>
  </si>
  <si>
    <t>10HCB12 AT015 bypassed</t>
  </si>
  <si>
    <t>DI_bypassed_216</t>
  </si>
  <si>
    <t>10HCB12 AT016 bypassed</t>
  </si>
  <si>
    <t>DI_bypassed_217</t>
  </si>
  <si>
    <t>10HCB12 AT017 bypassed</t>
  </si>
  <si>
    <t>DI_bypassed_218</t>
  </si>
  <si>
    <t>10HCB12 AT018 bypassed</t>
  </si>
  <si>
    <t>DI_bypassed_219</t>
  </si>
  <si>
    <t>10HCB12 AT019 bypassed</t>
  </si>
  <si>
    <t>DI_bypassed_220</t>
  </si>
  <si>
    <t>10HCB12 AT020 bypassed</t>
  </si>
  <si>
    <t>CONVECTION AREA (LEFT)</t>
  </si>
  <si>
    <t>DI_bypassed_701</t>
  </si>
  <si>
    <t>10HCB17 AT001 bypassed</t>
  </si>
  <si>
    <t>DI_bypassed_702</t>
  </si>
  <si>
    <t>10HCB17 AT002 bypassed</t>
  </si>
  <si>
    <t>DI_bypassed_703</t>
  </si>
  <si>
    <t>10HCB17 AT003 bypassed</t>
  </si>
  <si>
    <t>DI_bypassed_704</t>
  </si>
  <si>
    <t>10HCB17 AT004 bypassed</t>
  </si>
  <si>
    <t>DI_bypassed_705</t>
  </si>
  <si>
    <t>10HCB17 AT005 bypassed</t>
  </si>
  <si>
    <t>DI_bypassed_706</t>
  </si>
  <si>
    <t>10HCB17 AT006 bypassed</t>
  </si>
  <si>
    <t>DI_bypassed_707</t>
  </si>
  <si>
    <t>10HCB17 AT007 bypassed</t>
  </si>
  <si>
    <t>DI_bypassed_708</t>
  </si>
  <si>
    <t>10HCB17 AT008 bypassed</t>
  </si>
  <si>
    <t>DI_bypassed_709</t>
  </si>
  <si>
    <t>10HCB17 AT009 bypassed</t>
  </si>
  <si>
    <t>DI_bypassed_710</t>
  </si>
  <si>
    <t>10HCB17 AT010 bypassed</t>
  </si>
  <si>
    <t>DI_bypassed_711</t>
  </si>
  <si>
    <t>10HCB17 AT011 bypassed</t>
  </si>
  <si>
    <t>DI_bypassed_712</t>
  </si>
  <si>
    <t>10HCB17 AT012 bypassed</t>
  </si>
  <si>
    <t>DI_bypassed_713</t>
  </si>
  <si>
    <t>10HCB17 AT013 bypassed</t>
  </si>
  <si>
    <t>DI_bypassed_501</t>
  </si>
  <si>
    <t>10HCB15 AT001 bypassed</t>
  </si>
  <si>
    <t>DI_bypassed_502</t>
  </si>
  <si>
    <t>10HCB15 AT002 bypassed</t>
  </si>
  <si>
    <t>DI_bypassed_503</t>
  </si>
  <si>
    <t>10HCB15 AT003 bypassed</t>
  </si>
  <si>
    <t>DI_bypassed_504</t>
  </si>
  <si>
    <t>10HCB15 AT004 bypassed</t>
  </si>
  <si>
    <t>DI_bypassed_901</t>
  </si>
  <si>
    <t>10HCB19 AT001bypassed</t>
  </si>
  <si>
    <t>CONVECTION AREA RIGHT)</t>
  </si>
  <si>
    <t>DI_bypassed_801</t>
  </si>
  <si>
    <t>10HCB18 AT001 bypassed</t>
  </si>
  <si>
    <t>DI_bypassed_802</t>
  </si>
  <si>
    <t>10HCB18 AT002 bypassed</t>
  </si>
  <si>
    <t>DI_bypassed_803</t>
  </si>
  <si>
    <t>10HCB18 AT003 bypassed</t>
  </si>
  <si>
    <t>DI_bypassed_804</t>
  </si>
  <si>
    <t>10HCB18 AT004 bypassed</t>
  </si>
  <si>
    <t>DI_bypassed_805</t>
  </si>
  <si>
    <t>10HCB18 AT005 bypassed</t>
  </si>
  <si>
    <t>DI_bypassed_806</t>
  </si>
  <si>
    <t>10HCB18 AT006 bypassed</t>
  </si>
  <si>
    <t>DI_bypassed_807</t>
  </si>
  <si>
    <t>10HCB18 AT007 bypassed</t>
  </si>
  <si>
    <t>DI_bypassed_808</t>
  </si>
  <si>
    <t>10HCB18 AT008 bypassed</t>
  </si>
  <si>
    <t>DI_bypassed_809</t>
  </si>
  <si>
    <t>10HCB18 AT009 bypassed</t>
  </si>
  <si>
    <t>DI_bypassed_810</t>
  </si>
  <si>
    <t>10HCB18 AT010 bypassed</t>
  </si>
  <si>
    <t>DI_bypassed_811</t>
  </si>
  <si>
    <t>10HCB18 AT011 bypassed</t>
  </si>
  <si>
    <t>DI_bypassed_812</t>
  </si>
  <si>
    <t>10HCB18 AT012 bypassed</t>
  </si>
  <si>
    <t>DI_bypassed_813</t>
  </si>
  <si>
    <t>10HCB18 AT013 bypassed</t>
  </si>
  <si>
    <t>DI_bypassed_601</t>
  </si>
  <si>
    <t>10HCB16 AT001 bypassed</t>
  </si>
  <si>
    <t>DI_bypassed_602</t>
  </si>
  <si>
    <t>10HCB16 AT002 bypassed</t>
  </si>
  <si>
    <t>DI_bypassed_603</t>
  </si>
  <si>
    <t>10HCB16 AT003 bypassed</t>
  </si>
  <si>
    <t>DI_bypassed_604</t>
  </si>
  <si>
    <t>10HCB16 AT004 bypassed</t>
  </si>
  <si>
    <t>DI_bypassed_902</t>
  </si>
  <si>
    <t>10HCB19 AT002 bypassed</t>
  </si>
  <si>
    <t>CONTROL STATUS</t>
  </si>
  <si>
    <t>DI_HMIcontrol</t>
  </si>
  <si>
    <t>DI_Single</t>
  </si>
  <si>
    <t>Single/Double</t>
  </si>
  <si>
    <t>DI_MPRun</t>
  </si>
  <si>
    <t xml:space="preserve">BOILER SOOT BLOWER CONTROL SYSTEM RUN </t>
  </si>
  <si>
    <t>DI_AHPRun</t>
  </si>
  <si>
    <t xml:space="preserve">AH SOOT BLOWER CONTROL SYSTEM RUN </t>
  </si>
  <si>
    <t>DI_Pause</t>
  </si>
  <si>
    <t>Main soot blower program paused</t>
  </si>
  <si>
    <t>DI_PH1</t>
  </si>
  <si>
    <t>SB STM PRES H</t>
  </si>
  <si>
    <t>DI_PL1</t>
  </si>
  <si>
    <t>SB STM PRES L</t>
  </si>
  <si>
    <t>DI_T1</t>
  </si>
  <si>
    <t>DI_T2</t>
  </si>
  <si>
    <t>DI_G1</t>
  </si>
  <si>
    <t>One of GRP HCB13,11 SB advance</t>
  </si>
  <si>
    <t>DI_E1</t>
  </si>
  <si>
    <t>One of GRP HCB13,11 SB retract</t>
  </si>
  <si>
    <t>DI_H1</t>
  </si>
  <si>
    <t>One of GRP HCB13,11 SB overload</t>
  </si>
  <si>
    <t>DI_G3</t>
  </si>
  <si>
    <t>One of GRP HCB17,15 SB advance</t>
  </si>
  <si>
    <t>DI_E3</t>
  </si>
  <si>
    <t>One of GRP HCB17,15 SB retract</t>
  </si>
  <si>
    <t>DI_H3</t>
  </si>
  <si>
    <t>One of GRP HCB17,15 SB overload</t>
  </si>
  <si>
    <t>DI_G5</t>
  </si>
  <si>
    <t>DI_E5</t>
  </si>
  <si>
    <t>DI_H5</t>
  </si>
  <si>
    <t>DI_G2</t>
  </si>
  <si>
    <t>One of GRP HCB14,12 SB advance</t>
  </si>
  <si>
    <t>DI_E2</t>
  </si>
  <si>
    <t>One of GRP HCB14,12 SB retract</t>
  </si>
  <si>
    <t>DI_H2</t>
  </si>
  <si>
    <t>One of GRP HCB14,12 SB overload</t>
  </si>
  <si>
    <t>DI_G4</t>
  </si>
  <si>
    <t>One of GRP HCB18,16 SB advance</t>
  </si>
  <si>
    <t>DI_E4</t>
  </si>
  <si>
    <t>One of GRP HCB18,16 SB retract</t>
  </si>
  <si>
    <t>DI_H4</t>
  </si>
  <si>
    <t>One of GRP HCB18,16 SB overload</t>
  </si>
  <si>
    <t>DI_G6</t>
  </si>
  <si>
    <t>DI_E6</t>
  </si>
  <si>
    <t>DI_H6</t>
  </si>
  <si>
    <t>DI_LKSV1</t>
  </si>
  <si>
    <t>BLR SB PRES CRTL-V OPND</t>
  </si>
  <si>
    <t>DI_LKSV2</t>
  </si>
  <si>
    <t>BLR SB TEMP CRTL-V OPND</t>
  </si>
  <si>
    <t>DI_LK1</t>
  </si>
  <si>
    <t>MAIN SB STM VLV OPND</t>
  </si>
  <si>
    <t>DI_LG1</t>
  </si>
  <si>
    <t>MAIN SB STM VLV CLSD</t>
  </si>
  <si>
    <t>DI_HF1</t>
  </si>
  <si>
    <t>MAIN SB STM VLV FAULT</t>
  </si>
  <si>
    <t>DI_LK2</t>
  </si>
  <si>
    <t>SB SPRAY WATER VLV OPND</t>
  </si>
  <si>
    <t>DI_LG2</t>
  </si>
  <si>
    <t>SB SPRAY WATER VLV CLSD</t>
  </si>
  <si>
    <t>DI_HF2</t>
  </si>
  <si>
    <t>SB SPRAY WATER VLV FAULT</t>
  </si>
  <si>
    <t>DI_LK3</t>
  </si>
  <si>
    <t>AUX SB STM VLV OPND</t>
  </si>
  <si>
    <t>DI_LG3</t>
  </si>
  <si>
    <t>AUX SB STM VLV CLSD</t>
  </si>
  <si>
    <t>DI_HF3</t>
  </si>
  <si>
    <t>AUX SB STM VLV FAULT</t>
  </si>
  <si>
    <t>DI_LK4</t>
  </si>
  <si>
    <t>DI_LG4</t>
  </si>
  <si>
    <t>DI_HF4</t>
  </si>
  <si>
    <t>DI_LK5</t>
  </si>
  <si>
    <t>DI_LG5</t>
  </si>
  <si>
    <t>DI_HF5</t>
  </si>
  <si>
    <t>DI_LK6</t>
  </si>
  <si>
    <t>DI_LG6</t>
  </si>
  <si>
    <t>DI_HF6</t>
  </si>
  <si>
    <t>DI_LK7</t>
  </si>
  <si>
    <t>DI_LG7</t>
  </si>
  <si>
    <t>DI_HF7</t>
  </si>
  <si>
    <t>DI_LK8</t>
  </si>
  <si>
    <t>DI_LG8</t>
  </si>
  <si>
    <t>DI_HF8</t>
  </si>
  <si>
    <t>DI_StartFail1</t>
  </si>
  <si>
    <t>One of GRP HCB13,11 SB start failure</t>
  </si>
  <si>
    <t>DI_StartFail3</t>
  </si>
  <si>
    <t>One of GRP HCB17,15 SB start failure</t>
  </si>
  <si>
    <t>DI_StartFail5</t>
  </si>
  <si>
    <t>DI_StartFail2</t>
  </si>
  <si>
    <t>One of GRP HCB14,12 SB start failure</t>
  </si>
  <si>
    <t>DI_StartFail4</t>
  </si>
  <si>
    <t>One of GRP HCB18,16 SB start failure</t>
  </si>
  <si>
    <t>DI_StartFail6</t>
  </si>
  <si>
    <t>DI_DM</t>
  </si>
  <si>
    <t>Soot blower control system simulate</t>
  </si>
  <si>
    <t>DI_LF_L</t>
  </si>
  <si>
    <t>LFT SIDE SB STM FLW L</t>
  </si>
  <si>
    <t>DI_LF_R</t>
  </si>
  <si>
    <t>RHT SIDE SB STM FLW L</t>
  </si>
  <si>
    <t>LocHMI/DCS</t>
  </si>
  <si>
    <t>One of GRP HCB19 AT001 advance</t>
  </si>
  <si>
    <t>One of GRP HCB19 AT001 retract</t>
  </si>
  <si>
    <t>One of GRP HCB19 AT001 overload</t>
  </si>
  <si>
    <t>One of GRP HCB19 AT002 advance</t>
  </si>
  <si>
    <t>One of GRP HCB19 AT002 retract</t>
  </si>
  <si>
    <t>One of GRP HCB19 AT002 overload</t>
  </si>
  <si>
    <t>NOTE :</t>
  </si>
  <si>
    <t>: RETRACT</t>
  </si>
  <si>
    <t>One of GRP HCB19AT001 start failure</t>
  </si>
  <si>
    <t>One of GRP HCB19AT002 start failure</t>
  </si>
  <si>
    <t>: INSERT/ADVANCE</t>
  </si>
  <si>
    <t>: START FAIL</t>
  </si>
  <si>
    <t>: READY/STANBY</t>
  </si>
  <si>
    <t>RED</t>
  </si>
  <si>
    <t>GREEN</t>
  </si>
  <si>
    <t>GREY</t>
  </si>
  <si>
    <t>YELLOW</t>
  </si>
  <si>
    <t>DCS WRITE HOLDING REGISTERS</t>
  </si>
  <si>
    <t>AO_ModeChoice</t>
  </si>
  <si>
    <t>D0000</t>
  </si>
  <si>
    <t>CIO</t>
  </si>
  <si>
    <t>AO_MDrainTimeSet</t>
  </si>
  <si>
    <t>D0001</t>
  </si>
  <si>
    <t>AO_AHDrainTimeSet</t>
  </si>
  <si>
    <t>D0002</t>
  </si>
  <si>
    <t>AO_TimeSet_IK1</t>
  </si>
  <si>
    <t>D0003</t>
  </si>
  <si>
    <t>AO_TimeSet_IK2</t>
  </si>
  <si>
    <t>D0004</t>
  </si>
  <si>
    <t>AO_ManCode_L</t>
  </si>
  <si>
    <t>D0005</t>
  </si>
  <si>
    <t>AO_ManCode_R</t>
  </si>
  <si>
    <t>D0006</t>
  </si>
  <si>
    <t>AO_AHTimes</t>
  </si>
  <si>
    <t>D0007</t>
  </si>
  <si>
    <t>AO_Seq1</t>
  </si>
  <si>
    <t>D0008</t>
  </si>
  <si>
    <t>AO_Seq2</t>
  </si>
  <si>
    <t>D0009</t>
  </si>
  <si>
    <t>AO_Seq3</t>
  </si>
  <si>
    <t>D0010</t>
  </si>
  <si>
    <t>AO_Seq4</t>
  </si>
  <si>
    <t>D0011</t>
  </si>
  <si>
    <t>AO_Seq5</t>
  </si>
  <si>
    <t>D0012</t>
  </si>
  <si>
    <t>AO_Seq6</t>
  </si>
  <si>
    <t>D0013</t>
  </si>
  <si>
    <t>AO_Seq7</t>
  </si>
  <si>
    <t>D0014</t>
  </si>
  <si>
    <t>AO_Seq8</t>
  </si>
  <si>
    <t>D0015</t>
  </si>
  <si>
    <t>AO_Seq9</t>
  </si>
  <si>
    <t>D0016</t>
  </si>
  <si>
    <t>RANGE</t>
  </si>
  <si>
    <t>Int(16)</t>
  </si>
  <si>
    <t>1-1800</t>
  </si>
  <si>
    <t>10-200</t>
  </si>
  <si>
    <t>1-40</t>
  </si>
  <si>
    <t>0-9</t>
  </si>
  <si>
    <t>Auto=1/REM=2/LOCAL=3/BAT=4</t>
  </si>
  <si>
    <t>Clause</t>
  </si>
  <si>
    <t>Definition</t>
  </si>
  <si>
    <t>Unit</t>
  </si>
  <si>
    <t>Above</t>
  </si>
  <si>
    <t>Below</t>
  </si>
  <si>
    <t>Eligibility</t>
  </si>
  <si>
    <t>Selection</t>
  </si>
  <si>
    <t>SootOptON</t>
  </si>
  <si>
    <t>SootOptMode &gt; LogicalTrue</t>
  </si>
  <si>
    <t>x</t>
  </si>
  <si>
    <t>MW OK</t>
  </si>
  <si>
    <t>GrossMW &gt; MW Cutoff</t>
  </si>
  <si>
    <t>MW</t>
  </si>
  <si>
    <t>StartOK_IKN</t>
  </si>
  <si>
    <t>IKsActiveN &lt; Th_IKsActiveN</t>
  </si>
  <si>
    <t>StartOK_IKS</t>
  </si>
  <si>
    <t>IKsActiveS &lt; Th_IKsActiveS</t>
  </si>
  <si>
    <t>StartOK_IR</t>
  </si>
  <si>
    <t>IRsActive &lt; Th_IRsActive</t>
  </si>
  <si>
    <t>ArchActive</t>
  </si>
  <si>
    <t>AnyArchBlower &gt; LogicalTrue</t>
  </si>
  <si>
    <t>SHRHdeltaLoLo</t>
  </si>
  <si>
    <t>SHRHdelta &lt; Th_SHRHdeltaLoLo</t>
  </si>
  <si>
    <t>deltaF</t>
  </si>
  <si>
    <t>FSH North Active</t>
  </si>
  <si>
    <t>IKSHActiveN = Th_IKsActiveN</t>
  </si>
  <si>
    <t>FSH South Active</t>
  </si>
  <si>
    <t>IKSHActiveS = Th_IKsActiveS</t>
  </si>
  <si>
    <t>Allow_TS_Rules</t>
  </si>
  <si>
    <t>Delayed_Enable &gt; LogicalTrue</t>
  </si>
  <si>
    <t>UseProcessRules</t>
  </si>
  <si>
    <t>UseProcessRules &gt; LogicalTrue</t>
  </si>
  <si>
    <t>UseEfficiencyRules</t>
  </si>
  <si>
    <t>UseEfficiencyRules &gt; LogicalTrue</t>
  </si>
  <si>
    <t>N SH T HiHi</t>
  </si>
  <si>
    <t>N SH T &gt; Th_N SH T HiHi</t>
  </si>
  <si>
    <t>degF</t>
  </si>
  <si>
    <t>N SH T Hi</t>
  </si>
  <si>
    <t>N SH T &gt; Th_N SH T Hi</t>
  </si>
  <si>
    <t>N SH T Lo</t>
  </si>
  <si>
    <t>N SH T &lt; Th_N SH T Lo</t>
  </si>
  <si>
    <t>N SH T LoLo</t>
  </si>
  <si>
    <t>N SH T &lt; Th_N SH T LoLo</t>
  </si>
  <si>
    <t>N RH T HiHi</t>
  </si>
  <si>
    <t>N RH T &gt; Th_RH T HiHi</t>
  </si>
  <si>
    <t>N RH T Hi</t>
  </si>
  <si>
    <t>N RH T &gt; Th_RH T Hi</t>
  </si>
  <si>
    <t>N RH T Lo</t>
  </si>
  <si>
    <t>N RH T &lt; Th_RH T Lo</t>
  </si>
  <si>
    <t>N RH T LoLo</t>
  </si>
  <si>
    <t>N RH T &lt; Th_RH T LoLo</t>
  </si>
  <si>
    <t>S SH T HiHi</t>
  </si>
  <si>
    <t>S SH T &gt; Th_S SH T HiHi</t>
  </si>
  <si>
    <t>S SH T Hi</t>
  </si>
  <si>
    <t>S SH T &gt; Th_S SH T Hi</t>
  </si>
  <si>
    <t>S SH T Lo</t>
  </si>
  <si>
    <t>S SH T &lt; Th_S SH T Lo</t>
  </si>
  <si>
    <t>S SH T LoLo</t>
  </si>
  <si>
    <t>S SH T &lt; Th_S SH T LoLo</t>
  </si>
  <si>
    <t>S RH T HiHi</t>
  </si>
  <si>
    <t>S RH T &gt; Th_RH T HiHi</t>
  </si>
  <si>
    <t>S RH T Hi</t>
  </si>
  <si>
    <t>S RH T &gt; Th_RH T Hi</t>
  </si>
  <si>
    <t>S RH T Lo</t>
  </si>
  <si>
    <t>S RH T &lt; Th_RH T Lo</t>
  </si>
  <si>
    <t>S RH T LoLo</t>
  </si>
  <si>
    <t>S RH T &lt; Th_RH T LoLo</t>
  </si>
  <si>
    <t>SH Spray Auto</t>
  </si>
  <si>
    <t>SH Spray Mode &gt; LogicalTrue</t>
  </si>
  <si>
    <t>SH Spray Hi</t>
  </si>
  <si>
    <t>SH Spray Flow &gt; Th_SH Spray Hi</t>
  </si>
  <si>
    <t>klb/h</t>
  </si>
  <si>
    <t>RH Spray Auto</t>
  </si>
  <si>
    <t>RH Spray Mode &gt; LogicalTrue</t>
  </si>
  <si>
    <t>RH Spray Hi</t>
  </si>
  <si>
    <t>RH Spray Flow &gt; Th_RH Spray Hi</t>
  </si>
  <si>
    <t>SH Spray S Hi</t>
  </si>
  <si>
    <t>SH Spray Flow S &gt; Th_SH Spray Hi</t>
  </si>
  <si>
    <t>SHSpray N Hi</t>
  </si>
  <si>
    <t>SH Spray Flow N &gt; Th_SH Spray Hi</t>
  </si>
  <si>
    <t>SH Spray N Lo</t>
  </si>
  <si>
    <t>SH Spray Flow N &lt; Th_SH Spray Lo</t>
  </si>
  <si>
    <t>SH Spray S Lo</t>
  </si>
  <si>
    <t>SH Spray Flow S &lt; Th_SH Spray Lo</t>
  </si>
  <si>
    <t>N APH GasIn T Hi</t>
  </si>
  <si>
    <t>N APHGasInlT &gt; Th_N APHGasInTempHi</t>
  </si>
  <si>
    <t>S APH GasIn T Hi</t>
  </si>
  <si>
    <t>S APHGasInT &gt; Th_S APHGasInTempHi</t>
  </si>
  <si>
    <t>SHRHdeltaLo</t>
  </si>
  <si>
    <t>SHRHdelta &lt; Th_SHRHdeltaLo</t>
  </si>
  <si>
    <t>SH Spray L N Hi</t>
  </si>
  <si>
    <t>SHN_Lwr_LoRngVlvPos &gt; TH_SH Spray Vlv Hi</t>
  </si>
  <si>
    <t>%</t>
  </si>
  <si>
    <t>SH Spray L S Hi</t>
  </si>
  <si>
    <t>SHS_Lwr_LoRngVlvPos &gt; TH_SH Spray Vlv Hi</t>
  </si>
  <si>
    <t>SH Spray U N Hi</t>
  </si>
  <si>
    <t>SHN_Upper_VlvPos &gt; TH_SH Spray Vlv Hi</t>
  </si>
  <si>
    <t>SH Spray U S Hi</t>
  </si>
  <si>
    <t>SHS_Upper_VlvPos  &gt; TH_SH Spray Vlv Hi</t>
  </si>
  <si>
    <t>SH Spray L N Lo</t>
  </si>
  <si>
    <t>SHN_Lwr_LoRngVlvPos &lt; TH_SH Spray Vlv Lo</t>
  </si>
  <si>
    <t>SH Spray L S Lo</t>
  </si>
  <si>
    <t>SHS_Lwr_LoRngVlvPos &lt; TH_SH Spray Vlv Lo</t>
  </si>
  <si>
    <t>SH Spray U N Lo</t>
  </si>
  <si>
    <t>SHN_Upper_VlvPos &lt; TH_SH Spray Vlv Lo</t>
  </si>
  <si>
    <t>SH Spray U S Lo</t>
  </si>
  <si>
    <t>SHS_Upper_VlvPos  &lt; TH_SH Spray Vlv Lo</t>
  </si>
  <si>
    <t>Typical
Value</t>
  </si>
  <si>
    <r>
      <t xml:space="preserve">Temperature in </t>
    </r>
    <r>
      <rPr>
        <b/>
        <sz val="11"/>
        <color theme="1"/>
        <rFont val="Calibri"/>
        <family val="2"/>
      </rPr>
      <t>°</t>
    </r>
    <r>
      <rPr>
        <b/>
        <sz val="11"/>
        <color theme="1"/>
        <rFont val="Calibri"/>
        <family val="2"/>
        <scheme val="minor"/>
      </rPr>
      <t>F</t>
    </r>
  </si>
  <si>
    <r>
      <t xml:space="preserve">Temperature in </t>
    </r>
    <r>
      <rPr>
        <b/>
        <sz val="11"/>
        <color theme="1"/>
        <rFont val="Calibri"/>
        <family val="2"/>
      </rPr>
      <t>°</t>
    </r>
    <r>
      <rPr>
        <b/>
        <sz val="11"/>
        <color theme="1"/>
        <rFont val="Calibri"/>
        <family val="2"/>
        <scheme val="minor"/>
      </rPr>
      <t>C</t>
    </r>
  </si>
  <si>
    <t>Optimization Cycle Steps:</t>
  </si>
  <si>
    <t>1)  Check Area, Zone and Blower Eligibility</t>
  </si>
  <si>
    <t>2)  Determine if an eligible Zone needs cleaning (using rules and/or numerical models)</t>
  </si>
  <si>
    <t>3)  Determine what eligible Blower in the selected Zone to run (using rules and/or numerical models)</t>
  </si>
  <si>
    <t>4)  Send request to SBCS</t>
  </si>
  <si>
    <t>5)  Wait, Repeat</t>
  </si>
  <si>
    <t>Zones :</t>
  </si>
  <si>
    <t>2)Convection Area</t>
  </si>
  <si>
    <t>1)Furnace Area</t>
  </si>
  <si>
    <t>- Zone Front Wall</t>
  </si>
  <si>
    <t>- Zone Left Wall</t>
  </si>
  <si>
    <t>- Zone Right Wall</t>
  </si>
  <si>
    <t>- Zone Back Wall</t>
  </si>
  <si>
    <t>3)Air Heater Area</t>
  </si>
  <si>
    <t>degC</t>
  </si>
  <si>
    <t>ton/h</t>
  </si>
  <si>
    <t>Seq.Rank</t>
  </si>
  <si>
    <t>Area Code</t>
  </si>
  <si>
    <t>- Zone SHP (LEFT)</t>
  </si>
  <si>
    <t>- Zone RHP (LEFT)</t>
  </si>
  <si>
    <t>- Zone RHF (LEFT)</t>
  </si>
  <si>
    <t>- Zone SHF (LEFT)</t>
  </si>
  <si>
    <t>- Zone VERT. LTSH (LEFT)</t>
  </si>
  <si>
    <t>- Zone S.HOR LTSH (LEFT)</t>
  </si>
  <si>
    <t>- Zone S. ECO (LEFT)</t>
  </si>
  <si>
    <t>- Zone P. ECO (LEFT)</t>
  </si>
  <si>
    <t>Area Group</t>
  </si>
  <si>
    <t>101 s/d 120</t>
  </si>
  <si>
    <t>301 s/d 320</t>
  </si>
  <si>
    <t>401 s/d 420</t>
  </si>
  <si>
    <t>201 s/d 220</t>
  </si>
  <si>
    <t>- Zone SHP (RIGHT)</t>
  </si>
  <si>
    <t>- Zone RHP (RIGHT)</t>
  </si>
  <si>
    <t>- Zone RHF (RIGHT)</t>
  </si>
  <si>
    <t>- Zone SHF (RIGHT)</t>
  </si>
  <si>
    <t>- Zone VERT. LTSH (RIGHT)</t>
  </si>
  <si>
    <t>- Zone S.HOR LTSH (RIGHT)</t>
  </si>
  <si>
    <t>- Zone S. ECO (RIGHT)</t>
  </si>
  <si>
    <t>- Zone P. ECO (RIGHT)</t>
  </si>
  <si>
    <t>702 s/d 704</t>
  </si>
  <si>
    <t>705 s/d 706</t>
  </si>
  <si>
    <t>707 s/d 708</t>
  </si>
  <si>
    <t>710 s/d 711</t>
  </si>
  <si>
    <t>- Zone P.HOR LTSH (LEFT)</t>
  </si>
  <si>
    <t>712 s/d 713</t>
  </si>
  <si>
    <t>501 s/d 502</t>
  </si>
  <si>
    <t>503 s/d 504</t>
  </si>
  <si>
    <t>802 s/d 804</t>
  </si>
  <si>
    <t>805 s/d 806</t>
  </si>
  <si>
    <t>807 s/d 808</t>
  </si>
  <si>
    <t>810 s/d 811</t>
  </si>
  <si>
    <t>812 s/d 813</t>
  </si>
  <si>
    <t>- Zone P.HOR LTSH (RIGHT)</t>
  </si>
  <si>
    <t>601 s/d 602</t>
  </si>
  <si>
    <t>603 s/d 604</t>
  </si>
  <si>
    <t>- Zone AH (LEFT)</t>
  </si>
  <si>
    <t>- ZoneAH (RIGHT)</t>
  </si>
  <si>
    <t>Rules</t>
  </si>
  <si>
    <t>Lim.H</t>
  </si>
  <si>
    <t>Lim.L</t>
  </si>
  <si>
    <t>DCS</t>
  </si>
  <si>
    <t>BAT</t>
  </si>
  <si>
    <t>101-902 ==&gt;pointer where to start</t>
  </si>
  <si>
    <t>PLC ADDRESS HANDSHAKE</t>
  </si>
  <si>
    <t>D0020</t>
  </si>
  <si>
    <t>D0021</t>
  </si>
  <si>
    <t>D0022</t>
  </si>
  <si>
    <t>D0023</t>
  </si>
  <si>
    <t>D0024</t>
  </si>
  <si>
    <t>D0025</t>
  </si>
  <si>
    <t>D0026</t>
  </si>
  <si>
    <t>D0027</t>
  </si>
  <si>
    <t>D0028</t>
  </si>
  <si>
    <t>D0029</t>
  </si>
  <si>
    <t>D0030</t>
  </si>
  <si>
    <t>D0031</t>
  </si>
  <si>
    <t>D0032</t>
  </si>
  <si>
    <t>D0033</t>
  </si>
  <si>
    <t>D0034</t>
  </si>
  <si>
    <t>D0035</t>
  </si>
  <si>
    <t>D0036</t>
  </si>
  <si>
    <t>No.1 DRAIN VLV OPND</t>
  </si>
  <si>
    <t>No.1 DRAIN VLV CLSD</t>
  </si>
  <si>
    <t>No.1 DRAIN VLV FAULT</t>
  </si>
  <si>
    <t>No.2 DRAIN VLV OPND</t>
  </si>
  <si>
    <t>No.2 DRAIN VLV CLSD</t>
  </si>
  <si>
    <t>No.2 DRAIN VLV FAULT</t>
  </si>
  <si>
    <t>No.3 DRAIN VLV OPND</t>
  </si>
  <si>
    <t>No.3 DRAIN VLV CLSD</t>
  </si>
  <si>
    <t>No.3 DRAIN VLV FAULT</t>
  </si>
  <si>
    <t>No.4 DRAIN VLV OPND</t>
  </si>
  <si>
    <t>No.4 DRAIN VLV CLSD</t>
  </si>
  <si>
    <t>No.4 DRAIN VLV FAULT</t>
  </si>
  <si>
    <t>No.5 DRAIN VLV OPND</t>
  </si>
  <si>
    <t>No.5 DRAIN VLV CLSD</t>
  </si>
  <si>
    <t>No.5 DRAIN VLV FAULT</t>
  </si>
  <si>
    <t>No.1 DRAIN TEMP H</t>
  </si>
  <si>
    <t>No.2 DRAIN TEMP H</t>
  </si>
  <si>
    <t>No.3 DRAIN TEMP H</t>
  </si>
  <si>
    <t>No.4 DRAIN TEMP H</t>
  </si>
  <si>
    <t>No.5 DRAIN TEMP H</t>
  </si>
  <si>
    <t>Rules Description</t>
  </si>
  <si>
    <t>Tags</t>
  </si>
  <si>
    <t>⁰C</t>
  </si>
  <si>
    <t>t/h</t>
  </si>
  <si>
    <t>LMTD Eco Left</t>
  </si>
  <si>
    <t>LMTD Eco right</t>
  </si>
  <si>
    <t>&gt;</t>
  </si>
  <si>
    <t xml:space="preserve">No1 APH OUTLET FLUE GAS TEMP </t>
  </si>
  <si>
    <t xml:space="preserve">No2 APH OUTLET FLUE GAS TEMP </t>
  </si>
  <si>
    <t>FT1A010503_PNT</t>
  </si>
  <si>
    <t>FT1A010601_PNT</t>
  </si>
  <si>
    <t>FT1A011204_PNT</t>
  </si>
  <si>
    <t>SH 2ND SPRAY WTR FLOW L</t>
  </si>
  <si>
    <t>SH 1ST SPRAY WATER FLOW R</t>
  </si>
  <si>
    <t>SH 1ST SPRAY WATER FLOW L</t>
  </si>
  <si>
    <t>SH 2ND SPRAY WTR FLOW R</t>
  </si>
  <si>
    <t>PLATEN SH 2ND SPRAY OUT STM TEMP R</t>
  </si>
  <si>
    <t>PLATEN SH 2ND SPRAY OUT STM TEMP L</t>
  </si>
</sst>
</file>

<file path=xl/styles.xml><?xml version="1.0" encoding="utf-8"?>
<styleSheet xmlns="http://schemas.openxmlformats.org/spreadsheetml/2006/main">
  <numFmts count="2">
    <numFmt numFmtId="164" formatCode="000000"/>
    <numFmt numFmtId="165" formatCode="0000"/>
  </numFmts>
  <fonts count="1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i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1"/>
      <color theme="1"/>
      <name val="Calibri"/>
      <family val="2"/>
    </font>
    <font>
      <b/>
      <sz val="10"/>
      <color theme="1"/>
      <name val="Calibri"/>
      <family val="2"/>
      <scheme val="minor"/>
    </font>
    <font>
      <sz val="9"/>
      <name val="宋体"/>
      <charset val="134"/>
    </font>
    <font>
      <sz val="11"/>
      <name val="Calibri"/>
      <family val="2"/>
      <scheme val="minor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0" fontId="10" fillId="0" borderId="0">
      <alignment vertical="center"/>
    </xf>
  </cellStyleXfs>
  <cellXfs count="86">
    <xf numFmtId="0" fontId="0" fillId="0" borderId="0" xfId="0"/>
    <xf numFmtId="0" fontId="2" fillId="0" borderId="2" xfId="0" applyFont="1" applyFill="1" applyBorder="1" applyAlignment="1">
      <alignment horizontal="left"/>
    </xf>
    <xf numFmtId="164" fontId="2" fillId="0" borderId="4" xfId="0" applyNumberFormat="1" applyFont="1" applyBorder="1" applyAlignment="1">
      <alignment horizontal="left"/>
    </xf>
    <xf numFmtId="164" fontId="2" fillId="0" borderId="4" xfId="0" applyNumberFormat="1" applyFont="1" applyFill="1" applyBorder="1" applyAlignment="1">
      <alignment horizontal="left"/>
    </xf>
    <xf numFmtId="0" fontId="2" fillId="0" borderId="2" xfId="0" applyFont="1" applyBorder="1" applyAlignment="1">
      <alignment horizontal="left"/>
    </xf>
    <xf numFmtId="0" fontId="2" fillId="0" borderId="3" xfId="0" applyFont="1" applyFill="1" applyBorder="1" applyAlignment="1">
      <alignment horizontal="left"/>
    </xf>
    <xf numFmtId="164" fontId="2" fillId="0" borderId="11" xfId="0" applyNumberFormat="1" applyFont="1" applyBorder="1" applyAlignment="1">
      <alignment horizontal="left"/>
    </xf>
    <xf numFmtId="0" fontId="2" fillId="0" borderId="3" xfId="0" applyFont="1" applyBorder="1" applyAlignment="1">
      <alignment horizontal="left"/>
    </xf>
    <xf numFmtId="164" fontId="2" fillId="2" borderId="11" xfId="0" applyNumberFormat="1" applyFont="1" applyFill="1" applyBorder="1" applyAlignment="1">
      <alignment horizontal="left"/>
    </xf>
    <xf numFmtId="164" fontId="2" fillId="2" borderId="4" xfId="0" applyNumberFormat="1" applyFont="1" applyFill="1" applyBorder="1" applyAlignment="1">
      <alignment horizontal="left"/>
    </xf>
    <xf numFmtId="0" fontId="3" fillId="0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0" fillId="0" borderId="2" xfId="0" applyBorder="1"/>
    <xf numFmtId="0" fontId="0" fillId="0" borderId="2" xfId="0" applyBorder="1" applyAlignment="1">
      <alignment horizontal="center"/>
    </xf>
    <xf numFmtId="0" fontId="2" fillId="0" borderId="2" xfId="0" applyFont="1" applyFill="1" applyBorder="1" applyAlignment="1">
      <alignment horizontal="left" vertical="center"/>
    </xf>
    <xf numFmtId="0" fontId="0" fillId="0" borderId="1" xfId="0" applyBorder="1"/>
    <xf numFmtId="0" fontId="0" fillId="0" borderId="5" xfId="0" applyBorder="1"/>
    <xf numFmtId="0" fontId="0" fillId="0" borderId="3" xfId="0" applyBorder="1"/>
    <xf numFmtId="0" fontId="1" fillId="0" borderId="0" xfId="0" applyFont="1"/>
    <xf numFmtId="0" fontId="0" fillId="0" borderId="12" xfId="0" applyBorder="1"/>
    <xf numFmtId="0" fontId="0" fillId="0" borderId="10" xfId="0" applyBorder="1"/>
    <xf numFmtId="0" fontId="0" fillId="0" borderId="13" xfId="0" applyBorder="1"/>
    <xf numFmtId="0" fontId="0" fillId="0" borderId="14" xfId="0" applyBorder="1"/>
    <xf numFmtId="0" fontId="0" fillId="0" borderId="0" xfId="0" applyBorder="1"/>
    <xf numFmtId="0" fontId="0" fillId="0" borderId="15" xfId="0" applyBorder="1"/>
    <xf numFmtId="0" fontId="0" fillId="0" borderId="8" xfId="0" applyBorder="1"/>
    <xf numFmtId="0" fontId="0" fillId="0" borderId="9" xfId="0" applyBorder="1"/>
    <xf numFmtId="0" fontId="0" fillId="0" borderId="11" xfId="0" applyBorder="1"/>
    <xf numFmtId="165" fontId="2" fillId="0" borderId="4" xfId="0" applyNumberFormat="1" applyFont="1" applyBorder="1" applyAlignment="1">
      <alignment horizontal="left"/>
    </xf>
    <xf numFmtId="0" fontId="2" fillId="0" borderId="6" xfId="0" applyFont="1" applyBorder="1" applyAlignment="1">
      <alignment horizontal="right"/>
    </xf>
    <xf numFmtId="0" fontId="2" fillId="0" borderId="2" xfId="0" applyFont="1" applyBorder="1"/>
    <xf numFmtId="165" fontId="2" fillId="0" borderId="2" xfId="0" applyNumberFormat="1" applyFont="1" applyBorder="1" applyAlignment="1">
      <alignment horizontal="left"/>
    </xf>
    <xf numFmtId="165" fontId="2" fillId="2" borderId="4" xfId="0" applyNumberFormat="1" applyFont="1" applyFill="1" applyBorder="1" applyAlignment="1">
      <alignment horizontal="left"/>
    </xf>
    <xf numFmtId="0" fontId="2" fillId="0" borderId="2" xfId="0" applyFont="1" applyBorder="1" applyAlignment="1">
      <alignment horizontal="left" shrinkToFit="1"/>
    </xf>
    <xf numFmtId="0" fontId="3" fillId="0" borderId="3" xfId="0" applyFont="1" applyFill="1" applyBorder="1" applyAlignment="1">
      <alignment horizontal="center" vertical="center" wrapText="1"/>
    </xf>
    <xf numFmtId="0" fontId="3" fillId="0" borderId="11" xfId="0" applyFont="1" applyFill="1" applyBorder="1" applyAlignment="1">
      <alignment horizontal="center" vertical="center" wrapText="1"/>
    </xf>
    <xf numFmtId="0" fontId="3" fillId="0" borderId="8" xfId="0" applyFont="1" applyFill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left" vertical="top"/>
    </xf>
    <xf numFmtId="0" fontId="0" fillId="0" borderId="0" xfId="0" applyFont="1"/>
    <xf numFmtId="0" fontId="7" fillId="0" borderId="2" xfId="0" applyFont="1" applyBorder="1" applyAlignment="1">
      <alignment horizontal="left" vertical="top"/>
    </xf>
    <xf numFmtId="0" fontId="7" fillId="0" borderId="2" xfId="0" applyFont="1" applyBorder="1" applyAlignment="1">
      <alignment horizontal="center" vertical="top"/>
    </xf>
    <xf numFmtId="0" fontId="0" fillId="0" borderId="0" xfId="0" applyFont="1" applyAlignment="1">
      <alignment horizontal="center"/>
    </xf>
    <xf numFmtId="0" fontId="0" fillId="0" borderId="2" xfId="0" applyFont="1" applyBorder="1"/>
    <xf numFmtId="0" fontId="0" fillId="3" borderId="0" xfId="0" applyFont="1" applyFill="1"/>
    <xf numFmtId="0" fontId="0" fillId="0" borderId="0" xfId="0" quotePrefix="1"/>
    <xf numFmtId="0" fontId="0" fillId="0" borderId="0" xfId="0" quotePrefix="1" applyAlignment="1">
      <alignment wrapText="1"/>
    </xf>
    <xf numFmtId="0" fontId="1" fillId="0" borderId="2" xfId="0" applyFont="1" applyBorder="1"/>
    <xf numFmtId="0" fontId="0" fillId="0" borderId="2" xfId="0" applyFont="1" applyBorder="1" applyAlignment="1">
      <alignment horizontal="center"/>
    </xf>
    <xf numFmtId="0" fontId="6" fillId="3" borderId="2" xfId="0" applyFont="1" applyFill="1" applyBorder="1" applyAlignment="1">
      <alignment horizontal="center" vertical="top"/>
    </xf>
    <xf numFmtId="0" fontId="6" fillId="3" borderId="2" xfId="0" applyFont="1" applyFill="1" applyBorder="1" applyAlignment="1">
      <alignment horizontal="center" vertical="top" wrapText="1"/>
    </xf>
    <xf numFmtId="0" fontId="9" fillId="3" borderId="2" xfId="0" applyFont="1" applyFill="1" applyBorder="1" applyAlignment="1">
      <alignment horizontal="center" vertical="top"/>
    </xf>
    <xf numFmtId="0" fontId="0" fillId="0" borderId="0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0" fillId="0" borderId="14" xfId="0" applyFont="1" applyBorder="1"/>
    <xf numFmtId="0" fontId="0" fillId="0" borderId="0" xfId="0" applyFont="1" applyBorder="1"/>
    <xf numFmtId="0" fontId="0" fillId="0" borderId="15" xfId="0" applyFont="1" applyBorder="1"/>
    <xf numFmtId="0" fontId="1" fillId="0" borderId="2" xfId="0" applyFont="1" applyFill="1" applyBorder="1"/>
    <xf numFmtId="0" fontId="0" fillId="0" borderId="2" xfId="0" applyFill="1" applyBorder="1"/>
    <xf numFmtId="0" fontId="11" fillId="0" borderId="2" xfId="0" applyFont="1" applyBorder="1" applyAlignment="1">
      <alignment horizontal="left" vertical="center"/>
    </xf>
    <xf numFmtId="0" fontId="11" fillId="0" borderId="2" xfId="1" applyFont="1" applyBorder="1" applyAlignment="1">
      <alignment horizontal="left" vertical="center"/>
    </xf>
    <xf numFmtId="0" fontId="3" fillId="0" borderId="0" xfId="0" applyFont="1" applyBorder="1" applyAlignment="1">
      <alignment horizontal="center" vertical="center"/>
    </xf>
    <xf numFmtId="0" fontId="3" fillId="0" borderId="9" xfId="0" applyFont="1" applyFill="1" applyBorder="1" applyAlignment="1">
      <alignment horizontal="center" vertical="center" wrapText="1"/>
    </xf>
    <xf numFmtId="165" fontId="2" fillId="0" borderId="6" xfId="0" applyNumberFormat="1" applyFont="1" applyBorder="1" applyAlignment="1">
      <alignment horizontal="left"/>
    </xf>
    <xf numFmtId="0" fontId="12" fillId="0" borderId="2" xfId="0" applyFont="1" applyBorder="1"/>
    <xf numFmtId="0" fontId="3" fillId="0" borderId="13" xfId="0" applyFont="1" applyFill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0" borderId="6" xfId="0" applyFont="1" applyFill="1" applyBorder="1" applyAlignment="1">
      <alignment horizontal="center" vertical="center" wrapText="1"/>
    </xf>
    <xf numFmtId="0" fontId="3" fillId="0" borderId="4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2" fillId="0" borderId="1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/>
    </xf>
    <xf numFmtId="0" fontId="1" fillId="0" borderId="9" xfId="0" applyFont="1" applyBorder="1" applyAlignment="1">
      <alignment horizontal="center"/>
    </xf>
    <xf numFmtId="0" fontId="1" fillId="0" borderId="2" xfId="0" applyFont="1" applyFill="1" applyBorder="1" applyAlignment="1">
      <alignment horizontal="center"/>
    </xf>
    <xf numFmtId="0" fontId="0" fillId="0" borderId="2" xfId="0" applyFill="1" applyBorder="1" applyAlignment="1">
      <alignment horizontal="center"/>
    </xf>
    <xf numFmtId="0" fontId="11" fillId="0" borderId="2" xfId="0" applyFont="1" applyBorder="1" applyAlignment="1">
      <alignment horizontal="center" vertical="center"/>
    </xf>
    <xf numFmtId="0" fontId="11" fillId="0" borderId="2" xfId="1" applyFont="1" applyBorder="1" applyAlignment="1">
      <alignment horizontal="center" vertical="center"/>
    </xf>
    <xf numFmtId="0" fontId="11" fillId="0" borderId="2" xfId="1" applyFont="1" applyFill="1" applyBorder="1" applyAlignment="1">
      <alignment horizontal="left" vertical="center"/>
    </xf>
    <xf numFmtId="0" fontId="0" fillId="0" borderId="2" xfId="0" applyFont="1" applyFill="1" applyBorder="1"/>
  </cellXfs>
  <cellStyles count="2">
    <cellStyle name="Normal" xfId="0" builtinId="0"/>
    <cellStyle name="常规_表单格式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1</xdr:row>
      <xdr:rowOff>0</xdr:rowOff>
    </xdr:from>
    <xdr:to>
      <xdr:col>17</xdr:col>
      <xdr:colOff>4763</xdr:colOff>
      <xdr:row>17</xdr:row>
      <xdr:rowOff>142875</xdr:rowOff>
    </xdr:to>
    <xdr:pic>
      <xdr:nvPicPr>
        <xdr:cNvPr id="3" name="Picture 2" descr="IMG-20201213-WA0000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229350" y="190500"/>
          <a:ext cx="6100763" cy="3486150"/>
        </a:xfrm>
        <a:prstGeom prst="rect">
          <a:avLst/>
        </a:prstGeom>
      </xdr:spPr>
    </xdr:pic>
    <xdr:clientData/>
  </xdr:twoCellAnchor>
  <xdr:twoCellAnchor editAs="oneCell">
    <xdr:from>
      <xdr:col>6</xdr:col>
      <xdr:colOff>590550</xdr:colOff>
      <xdr:row>25</xdr:row>
      <xdr:rowOff>180975</xdr:rowOff>
    </xdr:from>
    <xdr:to>
      <xdr:col>16</xdr:col>
      <xdr:colOff>566736</xdr:colOff>
      <xdr:row>48</xdr:row>
      <xdr:rowOff>112783</xdr:rowOff>
    </xdr:to>
    <xdr:pic>
      <xdr:nvPicPr>
        <xdr:cNvPr id="4" name="Picture 3" descr="F747S-K0309-01 Model (1)_001.png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6210300" y="5238750"/>
          <a:ext cx="6072186" cy="4313308"/>
        </a:xfrm>
        <a:prstGeom prst="rect">
          <a:avLst/>
        </a:prstGeom>
      </xdr:spPr>
    </xdr:pic>
    <xdr:clientData/>
  </xdr:twoCellAnchor>
  <xdr:twoCellAnchor>
    <xdr:from>
      <xdr:col>7</xdr:col>
      <xdr:colOff>409575</xdr:colOff>
      <xdr:row>20</xdr:row>
      <xdr:rowOff>180975</xdr:rowOff>
    </xdr:from>
    <xdr:to>
      <xdr:col>7</xdr:col>
      <xdr:colOff>600075</xdr:colOff>
      <xdr:row>22</xdr:row>
      <xdr:rowOff>0</xdr:rowOff>
    </xdr:to>
    <xdr:sp macro="" textlink="">
      <xdr:nvSpPr>
        <xdr:cNvPr id="5" name="Oval 4"/>
        <xdr:cNvSpPr/>
      </xdr:nvSpPr>
      <xdr:spPr>
        <a:xfrm>
          <a:off x="6638925" y="4286250"/>
          <a:ext cx="190500" cy="200025"/>
        </a:xfrm>
        <a:prstGeom prst="ellipse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7</xdr:col>
      <xdr:colOff>419100</xdr:colOff>
      <xdr:row>22</xdr:row>
      <xdr:rowOff>180975</xdr:rowOff>
    </xdr:from>
    <xdr:to>
      <xdr:col>8</xdr:col>
      <xdr:colOff>0</xdr:colOff>
      <xdr:row>24</xdr:row>
      <xdr:rowOff>0</xdr:rowOff>
    </xdr:to>
    <xdr:sp macro="" textlink="">
      <xdr:nvSpPr>
        <xdr:cNvPr id="6" name="Oval 5"/>
        <xdr:cNvSpPr/>
      </xdr:nvSpPr>
      <xdr:spPr>
        <a:xfrm>
          <a:off x="6648450" y="4667250"/>
          <a:ext cx="190500" cy="200025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381000</xdr:colOff>
      <xdr:row>21</xdr:row>
      <xdr:rowOff>0</xdr:rowOff>
    </xdr:from>
    <xdr:to>
      <xdr:col>11</xdr:col>
      <xdr:colOff>571500</xdr:colOff>
      <xdr:row>22</xdr:row>
      <xdr:rowOff>9525</xdr:rowOff>
    </xdr:to>
    <xdr:sp macro="" textlink="">
      <xdr:nvSpPr>
        <xdr:cNvPr id="7" name="Oval 6"/>
        <xdr:cNvSpPr/>
      </xdr:nvSpPr>
      <xdr:spPr>
        <a:xfrm>
          <a:off x="9048750" y="4295775"/>
          <a:ext cx="190500" cy="200025"/>
        </a:xfrm>
        <a:prstGeom prst="ellipse">
          <a:avLst/>
        </a:prstGeom>
        <a:solidFill>
          <a:schemeClr val="bg1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390525</xdr:colOff>
      <xdr:row>23</xdr:row>
      <xdr:rowOff>0</xdr:rowOff>
    </xdr:from>
    <xdr:to>
      <xdr:col>11</xdr:col>
      <xdr:colOff>581025</xdr:colOff>
      <xdr:row>24</xdr:row>
      <xdr:rowOff>9525</xdr:rowOff>
    </xdr:to>
    <xdr:sp macro="" textlink="">
      <xdr:nvSpPr>
        <xdr:cNvPr id="8" name="Oval 7"/>
        <xdr:cNvSpPr/>
      </xdr:nvSpPr>
      <xdr:spPr>
        <a:xfrm>
          <a:off x="9058275" y="4676775"/>
          <a:ext cx="190500" cy="200025"/>
        </a:xfrm>
        <a:prstGeom prst="ellipse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J21"/>
  <sheetViews>
    <sheetView workbookViewId="0">
      <selection activeCell="D25" sqref="D25"/>
    </sheetView>
  </sheetViews>
  <sheetFormatPr defaultRowHeight="15"/>
  <cols>
    <col min="1" max="1" width="5.42578125" customWidth="1"/>
    <col min="2" max="2" width="18.28515625" customWidth="1"/>
    <col min="3" max="4" width="11.28515625" customWidth="1"/>
    <col min="5" max="5" width="5.7109375" customWidth="1"/>
    <col min="7" max="8" width="10.28515625" customWidth="1"/>
    <col min="10" max="10" width="31.140625" customWidth="1"/>
  </cols>
  <sheetData>
    <row r="2" spans="1:10" ht="15" customHeight="1">
      <c r="A2" s="66" t="s">
        <v>0</v>
      </c>
      <c r="B2" s="68" t="s">
        <v>363</v>
      </c>
      <c r="C2" s="68"/>
      <c r="D2" s="68"/>
      <c r="E2" s="68"/>
      <c r="F2" s="68"/>
      <c r="G2" s="68"/>
      <c r="H2" s="68"/>
      <c r="I2" s="68"/>
      <c r="J2" s="68"/>
    </row>
    <row r="3" spans="1:10" ht="25.5" customHeight="1">
      <c r="A3" s="67"/>
      <c r="B3" s="34" t="s">
        <v>2</v>
      </c>
      <c r="C3" s="71" t="s">
        <v>579</v>
      </c>
      <c r="D3" s="72"/>
      <c r="E3" s="36"/>
      <c r="F3" s="35"/>
      <c r="G3" s="69" t="s">
        <v>4</v>
      </c>
      <c r="H3" s="70"/>
      <c r="I3" s="10" t="s">
        <v>48</v>
      </c>
      <c r="J3" s="10" t="s">
        <v>399</v>
      </c>
    </row>
    <row r="4" spans="1:10">
      <c r="A4" s="62"/>
      <c r="B4" s="34"/>
      <c r="C4" s="35" t="s">
        <v>576</v>
      </c>
      <c r="D4" s="63" t="s">
        <v>577</v>
      </c>
      <c r="E4" s="36"/>
      <c r="F4" s="35"/>
      <c r="G4" s="37" t="s">
        <v>576</v>
      </c>
      <c r="H4" s="37" t="s">
        <v>577</v>
      </c>
      <c r="I4" s="10"/>
      <c r="J4" s="10"/>
    </row>
    <row r="5" spans="1:10">
      <c r="A5">
        <v>1</v>
      </c>
      <c r="B5" s="4" t="s">
        <v>364</v>
      </c>
      <c r="C5" s="31" t="s">
        <v>365</v>
      </c>
      <c r="D5" s="64" t="s">
        <v>580</v>
      </c>
      <c r="E5" s="29" t="s">
        <v>366</v>
      </c>
      <c r="F5" s="28">
        <v>300</v>
      </c>
      <c r="G5" s="32">
        <v>400001</v>
      </c>
      <c r="H5" s="32">
        <v>400021</v>
      </c>
      <c r="I5" s="12" t="s">
        <v>400</v>
      </c>
      <c r="J5" s="33" t="s">
        <v>405</v>
      </c>
    </row>
    <row r="6" spans="1:10">
      <c r="A6">
        <v>2</v>
      </c>
      <c r="B6" s="30" t="s">
        <v>367</v>
      </c>
      <c r="C6" s="31" t="s">
        <v>368</v>
      </c>
      <c r="D6" s="64" t="s">
        <v>581</v>
      </c>
      <c r="E6" s="29" t="s">
        <v>366</v>
      </c>
      <c r="F6" s="28">
        <f t="shared" ref="F6:F21" si="0">F5+1</f>
        <v>301</v>
      </c>
      <c r="G6" s="32">
        <v>400002</v>
      </c>
      <c r="H6" s="32">
        <v>400022</v>
      </c>
      <c r="I6" s="12" t="s">
        <v>400</v>
      </c>
      <c r="J6" s="31" t="s">
        <v>401</v>
      </c>
    </row>
    <row r="7" spans="1:10">
      <c r="A7">
        <v>3</v>
      </c>
      <c r="B7" s="30" t="s">
        <v>369</v>
      </c>
      <c r="C7" s="31" t="s">
        <v>370</v>
      </c>
      <c r="D7" s="64" t="s">
        <v>582</v>
      </c>
      <c r="E7" s="29" t="s">
        <v>366</v>
      </c>
      <c r="F7" s="28">
        <f t="shared" si="0"/>
        <v>302</v>
      </c>
      <c r="G7" s="32">
        <v>400003</v>
      </c>
      <c r="H7" s="32">
        <v>400023</v>
      </c>
      <c r="I7" s="12" t="s">
        <v>400</v>
      </c>
      <c r="J7" s="31" t="s">
        <v>401</v>
      </c>
    </row>
    <row r="8" spans="1:10">
      <c r="A8">
        <v>4</v>
      </c>
      <c r="B8" s="30" t="s">
        <v>371</v>
      </c>
      <c r="C8" s="31" t="s">
        <v>372</v>
      </c>
      <c r="D8" s="64" t="s">
        <v>583</v>
      </c>
      <c r="E8" s="29" t="s">
        <v>366</v>
      </c>
      <c r="F8" s="28">
        <f t="shared" si="0"/>
        <v>303</v>
      </c>
      <c r="G8" s="32">
        <v>400004</v>
      </c>
      <c r="H8" s="32">
        <v>400024</v>
      </c>
      <c r="I8" s="12" t="s">
        <v>400</v>
      </c>
      <c r="J8" s="31" t="s">
        <v>402</v>
      </c>
    </row>
    <row r="9" spans="1:10">
      <c r="A9">
        <v>5</v>
      </c>
      <c r="B9" s="30" t="s">
        <v>373</v>
      </c>
      <c r="C9" s="31" t="s">
        <v>374</v>
      </c>
      <c r="D9" s="64" t="s">
        <v>584</v>
      </c>
      <c r="E9" s="29" t="s">
        <v>366</v>
      </c>
      <c r="F9" s="28">
        <f t="shared" si="0"/>
        <v>304</v>
      </c>
      <c r="G9" s="32">
        <v>400005</v>
      </c>
      <c r="H9" s="32">
        <v>400025</v>
      </c>
      <c r="I9" s="12" t="s">
        <v>400</v>
      </c>
      <c r="J9" s="31" t="s">
        <v>402</v>
      </c>
    </row>
    <row r="10" spans="1:10">
      <c r="A10">
        <v>6</v>
      </c>
      <c r="B10" s="30" t="s">
        <v>375</v>
      </c>
      <c r="C10" s="31" t="s">
        <v>376</v>
      </c>
      <c r="D10" s="64" t="s">
        <v>585</v>
      </c>
      <c r="E10" s="29" t="s">
        <v>366</v>
      </c>
      <c r="F10" s="28">
        <f t="shared" si="0"/>
        <v>305</v>
      </c>
      <c r="G10" s="32">
        <v>400006</v>
      </c>
      <c r="H10" s="32">
        <v>400026</v>
      </c>
      <c r="I10" s="12" t="s">
        <v>400</v>
      </c>
      <c r="J10" s="31" t="s">
        <v>578</v>
      </c>
    </row>
    <row r="11" spans="1:10">
      <c r="A11">
        <v>7</v>
      </c>
      <c r="B11" s="30" t="s">
        <v>377</v>
      </c>
      <c r="C11" s="31" t="s">
        <v>378</v>
      </c>
      <c r="D11" s="64" t="s">
        <v>586</v>
      </c>
      <c r="E11" s="29" t="s">
        <v>366</v>
      </c>
      <c r="F11" s="28">
        <f t="shared" si="0"/>
        <v>306</v>
      </c>
      <c r="G11" s="32">
        <v>400007</v>
      </c>
      <c r="H11" s="32">
        <v>400027</v>
      </c>
      <c r="I11" s="12" t="s">
        <v>400</v>
      </c>
      <c r="J11" s="31" t="s">
        <v>578</v>
      </c>
    </row>
    <row r="12" spans="1:10">
      <c r="A12">
        <v>8</v>
      </c>
      <c r="B12" s="4" t="s">
        <v>379</v>
      </c>
      <c r="C12" s="31" t="s">
        <v>380</v>
      </c>
      <c r="D12" s="64" t="s">
        <v>587</v>
      </c>
      <c r="E12" s="29" t="s">
        <v>366</v>
      </c>
      <c r="F12" s="28">
        <f t="shared" si="0"/>
        <v>307</v>
      </c>
      <c r="G12" s="32">
        <v>400008</v>
      </c>
      <c r="H12" s="32">
        <v>400028</v>
      </c>
      <c r="I12" s="12" t="s">
        <v>400</v>
      </c>
      <c r="J12" s="31" t="s">
        <v>403</v>
      </c>
    </row>
    <row r="13" spans="1:10">
      <c r="A13">
        <v>9</v>
      </c>
      <c r="B13" s="30" t="s">
        <v>381</v>
      </c>
      <c r="C13" s="31" t="s">
        <v>382</v>
      </c>
      <c r="D13" s="64" t="s">
        <v>588</v>
      </c>
      <c r="E13" s="29" t="s">
        <v>366</v>
      </c>
      <c r="F13" s="28">
        <f t="shared" si="0"/>
        <v>308</v>
      </c>
      <c r="G13" s="32">
        <v>400009</v>
      </c>
      <c r="H13" s="32">
        <v>400029</v>
      </c>
      <c r="I13" s="12" t="s">
        <v>400</v>
      </c>
      <c r="J13" s="31" t="s">
        <v>404</v>
      </c>
    </row>
    <row r="14" spans="1:10">
      <c r="A14">
        <v>10</v>
      </c>
      <c r="B14" s="30" t="s">
        <v>383</v>
      </c>
      <c r="C14" s="31" t="s">
        <v>384</v>
      </c>
      <c r="D14" s="64" t="s">
        <v>589</v>
      </c>
      <c r="E14" s="29" t="s">
        <v>366</v>
      </c>
      <c r="F14" s="28">
        <f t="shared" si="0"/>
        <v>309</v>
      </c>
      <c r="G14" s="32">
        <v>400010</v>
      </c>
      <c r="H14" s="32">
        <v>400030</v>
      </c>
      <c r="I14" s="12" t="s">
        <v>400</v>
      </c>
      <c r="J14" s="31" t="s">
        <v>404</v>
      </c>
    </row>
    <row r="15" spans="1:10">
      <c r="A15">
        <v>11</v>
      </c>
      <c r="B15" s="30" t="s">
        <v>385</v>
      </c>
      <c r="C15" s="31" t="s">
        <v>386</v>
      </c>
      <c r="D15" s="64" t="s">
        <v>590</v>
      </c>
      <c r="E15" s="29" t="s">
        <v>366</v>
      </c>
      <c r="F15" s="28">
        <f t="shared" si="0"/>
        <v>310</v>
      </c>
      <c r="G15" s="32">
        <v>400011</v>
      </c>
      <c r="H15" s="32">
        <v>400031</v>
      </c>
      <c r="I15" s="12" t="s">
        <v>400</v>
      </c>
      <c r="J15" s="31" t="s">
        <v>404</v>
      </c>
    </row>
    <row r="16" spans="1:10">
      <c r="A16">
        <v>12</v>
      </c>
      <c r="B16" s="30" t="s">
        <v>387</v>
      </c>
      <c r="C16" s="31" t="s">
        <v>388</v>
      </c>
      <c r="D16" s="64" t="s">
        <v>591</v>
      </c>
      <c r="E16" s="29" t="s">
        <v>366</v>
      </c>
      <c r="F16" s="28">
        <f t="shared" si="0"/>
        <v>311</v>
      </c>
      <c r="G16" s="32">
        <v>400012</v>
      </c>
      <c r="H16" s="32">
        <v>400032</v>
      </c>
      <c r="I16" s="12" t="s">
        <v>400</v>
      </c>
      <c r="J16" s="31" t="s">
        <v>404</v>
      </c>
    </row>
    <row r="17" spans="1:10">
      <c r="A17">
        <v>13</v>
      </c>
      <c r="B17" s="30" t="s">
        <v>389</v>
      </c>
      <c r="C17" s="31" t="s">
        <v>390</v>
      </c>
      <c r="D17" s="64" t="s">
        <v>592</v>
      </c>
      <c r="E17" s="29" t="s">
        <v>366</v>
      </c>
      <c r="F17" s="28">
        <f t="shared" si="0"/>
        <v>312</v>
      </c>
      <c r="G17" s="32">
        <v>400013</v>
      </c>
      <c r="H17" s="32">
        <v>400033</v>
      </c>
      <c r="I17" s="12" t="s">
        <v>400</v>
      </c>
      <c r="J17" s="31" t="s">
        <v>404</v>
      </c>
    </row>
    <row r="18" spans="1:10">
      <c r="A18">
        <v>14</v>
      </c>
      <c r="B18" s="30" t="s">
        <v>391</v>
      </c>
      <c r="C18" s="31" t="s">
        <v>392</v>
      </c>
      <c r="D18" s="64" t="s">
        <v>593</v>
      </c>
      <c r="E18" s="29" t="s">
        <v>366</v>
      </c>
      <c r="F18" s="28">
        <f t="shared" si="0"/>
        <v>313</v>
      </c>
      <c r="G18" s="32">
        <v>400014</v>
      </c>
      <c r="H18" s="32">
        <v>400034</v>
      </c>
      <c r="I18" s="12" t="s">
        <v>400</v>
      </c>
      <c r="J18" s="31" t="s">
        <v>404</v>
      </c>
    </row>
    <row r="19" spans="1:10">
      <c r="A19">
        <v>15</v>
      </c>
      <c r="B19" s="30" t="s">
        <v>393</v>
      </c>
      <c r="C19" s="31" t="s">
        <v>394</v>
      </c>
      <c r="D19" s="64" t="s">
        <v>594</v>
      </c>
      <c r="E19" s="29" t="s">
        <v>366</v>
      </c>
      <c r="F19" s="28">
        <f t="shared" si="0"/>
        <v>314</v>
      </c>
      <c r="G19" s="32">
        <v>400015</v>
      </c>
      <c r="H19" s="32">
        <v>400035</v>
      </c>
      <c r="I19" s="12" t="s">
        <v>400</v>
      </c>
      <c r="J19" s="31" t="s">
        <v>404</v>
      </c>
    </row>
    <row r="20" spans="1:10">
      <c r="A20">
        <v>16</v>
      </c>
      <c r="B20" s="30" t="s">
        <v>395</v>
      </c>
      <c r="C20" s="31" t="s">
        <v>396</v>
      </c>
      <c r="D20" s="64" t="s">
        <v>595</v>
      </c>
      <c r="E20" s="29" t="s">
        <v>366</v>
      </c>
      <c r="F20" s="28">
        <f t="shared" si="0"/>
        <v>315</v>
      </c>
      <c r="G20" s="32">
        <v>400016</v>
      </c>
      <c r="H20" s="32">
        <v>400036</v>
      </c>
      <c r="I20" s="12" t="s">
        <v>400</v>
      </c>
      <c r="J20" s="31" t="s">
        <v>404</v>
      </c>
    </row>
    <row r="21" spans="1:10">
      <c r="A21">
        <v>17</v>
      </c>
      <c r="B21" s="30" t="s">
        <v>397</v>
      </c>
      <c r="C21" s="31" t="s">
        <v>398</v>
      </c>
      <c r="D21" s="64" t="s">
        <v>596</v>
      </c>
      <c r="E21" s="29" t="s">
        <v>366</v>
      </c>
      <c r="F21" s="28">
        <f t="shared" si="0"/>
        <v>316</v>
      </c>
      <c r="G21" s="32">
        <v>400017</v>
      </c>
      <c r="H21" s="32">
        <v>400037</v>
      </c>
      <c r="I21" s="12" t="s">
        <v>400</v>
      </c>
      <c r="J21" s="31" t="s">
        <v>404</v>
      </c>
    </row>
  </sheetData>
  <mergeCells count="4">
    <mergeCell ref="A2:A3"/>
    <mergeCell ref="B2:J2"/>
    <mergeCell ref="G3:H3"/>
    <mergeCell ref="C3:D3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2"/>
  <dimension ref="A2:O191"/>
  <sheetViews>
    <sheetView tabSelected="1" topLeftCell="C4" zoomScale="115" zoomScaleNormal="115" workbookViewId="0">
      <selection activeCell="E197" sqref="E197"/>
    </sheetView>
  </sheetViews>
  <sheetFormatPr defaultRowHeight="15"/>
  <cols>
    <col min="1" max="1" width="5" customWidth="1"/>
    <col min="2" max="2" width="18.42578125" customWidth="1"/>
    <col min="3" max="4" width="9.5703125" customWidth="1"/>
    <col min="5" max="5" width="32.5703125" customWidth="1"/>
  </cols>
  <sheetData>
    <row r="2" spans="1:6" ht="15" customHeight="1">
      <c r="A2" s="77" t="s">
        <v>0</v>
      </c>
      <c r="B2" s="68" t="s">
        <v>1</v>
      </c>
      <c r="C2" s="68"/>
      <c r="D2" s="68"/>
      <c r="E2" s="68"/>
      <c r="F2" s="68"/>
    </row>
    <row r="3" spans="1:6" ht="38.25">
      <c r="A3" s="78"/>
      <c r="B3" s="10" t="s">
        <v>2</v>
      </c>
      <c r="C3" s="10" t="s">
        <v>3</v>
      </c>
      <c r="D3" s="11" t="s">
        <v>4</v>
      </c>
      <c r="E3" s="10" t="s">
        <v>47</v>
      </c>
      <c r="F3" s="10" t="s">
        <v>48</v>
      </c>
    </row>
    <row r="4" spans="1:6">
      <c r="A4" s="15"/>
      <c r="B4" s="74" t="s">
        <v>5</v>
      </c>
      <c r="C4" s="75"/>
      <c r="D4" s="75"/>
      <c r="E4" s="75"/>
      <c r="F4" s="76"/>
    </row>
    <row r="5" spans="1:6">
      <c r="A5" s="16">
        <v>1</v>
      </c>
      <c r="B5" s="5" t="s">
        <v>6</v>
      </c>
      <c r="C5" s="6">
        <v>27804</v>
      </c>
      <c r="D5" s="8">
        <v>104453</v>
      </c>
      <c r="E5" s="5" t="s">
        <v>7</v>
      </c>
      <c r="F5" s="7" t="s">
        <v>8</v>
      </c>
    </row>
    <row r="6" spans="1:6">
      <c r="A6" s="16">
        <v>2</v>
      </c>
      <c r="B6" s="1" t="s">
        <v>9</v>
      </c>
      <c r="C6" s="2">
        <v>27805</v>
      </c>
      <c r="D6" s="9">
        <v>104454</v>
      </c>
      <c r="E6" s="1" t="s">
        <v>10</v>
      </c>
      <c r="F6" s="4" t="s">
        <v>8</v>
      </c>
    </row>
    <row r="7" spans="1:6">
      <c r="A7" s="16">
        <v>3</v>
      </c>
      <c r="B7" s="1" t="s">
        <v>11</v>
      </c>
      <c r="C7" s="2">
        <v>27806</v>
      </c>
      <c r="D7" s="9">
        <v>104455</v>
      </c>
      <c r="E7" s="1" t="s">
        <v>12</v>
      </c>
      <c r="F7" s="4" t="s">
        <v>8</v>
      </c>
    </row>
    <row r="8" spans="1:6">
      <c r="A8" s="16">
        <v>4</v>
      </c>
      <c r="B8" s="1" t="s">
        <v>13</v>
      </c>
      <c r="C8" s="2">
        <v>27807</v>
      </c>
      <c r="D8" s="9">
        <v>104456</v>
      </c>
      <c r="E8" s="1" t="s">
        <v>14</v>
      </c>
      <c r="F8" s="4" t="s">
        <v>8</v>
      </c>
    </row>
    <row r="9" spans="1:6">
      <c r="A9" s="16">
        <v>5</v>
      </c>
      <c r="B9" s="1" t="s">
        <v>15</v>
      </c>
      <c r="C9" s="2">
        <v>27808</v>
      </c>
      <c r="D9" s="9">
        <v>104457</v>
      </c>
      <c r="E9" s="1" t="s">
        <v>16</v>
      </c>
      <c r="F9" s="4" t="s">
        <v>8</v>
      </c>
    </row>
    <row r="10" spans="1:6">
      <c r="A10" s="16">
        <v>6</v>
      </c>
      <c r="B10" s="1" t="s">
        <v>17</v>
      </c>
      <c r="C10" s="2">
        <v>27809</v>
      </c>
      <c r="D10" s="9">
        <v>104458</v>
      </c>
      <c r="E10" s="1" t="s">
        <v>18</v>
      </c>
      <c r="F10" s="4" t="s">
        <v>8</v>
      </c>
    </row>
    <row r="11" spans="1:6">
      <c r="A11" s="16">
        <v>7</v>
      </c>
      <c r="B11" s="1" t="s">
        <v>19</v>
      </c>
      <c r="C11" s="2">
        <v>27810</v>
      </c>
      <c r="D11" s="9">
        <v>104459</v>
      </c>
      <c r="E11" s="1" t="s">
        <v>20</v>
      </c>
      <c r="F11" s="4" t="s">
        <v>8</v>
      </c>
    </row>
    <row r="12" spans="1:6">
      <c r="A12" s="16">
        <v>8</v>
      </c>
      <c r="B12" s="1" t="s">
        <v>21</v>
      </c>
      <c r="C12" s="2">
        <v>27811</v>
      </c>
      <c r="D12" s="9">
        <v>104460</v>
      </c>
      <c r="E12" s="1" t="s">
        <v>22</v>
      </c>
      <c r="F12" s="4" t="s">
        <v>8</v>
      </c>
    </row>
    <row r="13" spans="1:6">
      <c r="A13" s="16">
        <v>9</v>
      </c>
      <c r="B13" s="1" t="s">
        <v>23</v>
      </c>
      <c r="C13" s="2">
        <v>27812</v>
      </c>
      <c r="D13" s="9">
        <v>104461</v>
      </c>
      <c r="E13" s="1" t="s">
        <v>24</v>
      </c>
      <c r="F13" s="4" t="s">
        <v>8</v>
      </c>
    </row>
    <row r="14" spans="1:6">
      <c r="A14" s="16">
        <v>10</v>
      </c>
      <c r="B14" s="1" t="s">
        <v>25</v>
      </c>
      <c r="C14" s="2">
        <v>27813</v>
      </c>
      <c r="D14" s="9">
        <v>104462</v>
      </c>
      <c r="E14" s="1" t="s">
        <v>26</v>
      </c>
      <c r="F14" s="4" t="s">
        <v>8</v>
      </c>
    </row>
    <row r="15" spans="1:6">
      <c r="A15" s="16">
        <v>11</v>
      </c>
      <c r="B15" s="1" t="s">
        <v>27</v>
      </c>
      <c r="C15" s="2">
        <v>27814</v>
      </c>
      <c r="D15" s="9">
        <v>104463</v>
      </c>
      <c r="E15" s="1" t="s">
        <v>28</v>
      </c>
      <c r="F15" s="4" t="s">
        <v>8</v>
      </c>
    </row>
    <row r="16" spans="1:6">
      <c r="A16" s="16">
        <v>12</v>
      </c>
      <c r="B16" s="1" t="s">
        <v>29</v>
      </c>
      <c r="C16" s="2">
        <v>27815</v>
      </c>
      <c r="D16" s="9">
        <v>104464</v>
      </c>
      <c r="E16" s="1" t="s">
        <v>30</v>
      </c>
      <c r="F16" s="4" t="s">
        <v>8</v>
      </c>
    </row>
    <row r="17" spans="1:15">
      <c r="A17" s="16">
        <v>13</v>
      </c>
      <c r="B17" s="1" t="s">
        <v>31</v>
      </c>
      <c r="C17" s="2">
        <v>27900</v>
      </c>
      <c r="D17" s="9">
        <v>104465</v>
      </c>
      <c r="E17" s="1" t="s">
        <v>32</v>
      </c>
      <c r="F17" s="4" t="s">
        <v>8</v>
      </c>
    </row>
    <row r="18" spans="1:15">
      <c r="A18" s="16">
        <v>14</v>
      </c>
      <c r="B18" s="1" t="s">
        <v>33</v>
      </c>
      <c r="C18" s="2">
        <v>27901</v>
      </c>
      <c r="D18" s="9">
        <v>104466</v>
      </c>
      <c r="E18" s="1" t="s">
        <v>34</v>
      </c>
      <c r="F18" s="4" t="s">
        <v>8</v>
      </c>
    </row>
    <row r="19" spans="1:15">
      <c r="A19" s="16">
        <v>15</v>
      </c>
      <c r="B19" s="1" t="s">
        <v>35</v>
      </c>
      <c r="C19" s="2">
        <v>27902</v>
      </c>
      <c r="D19" s="9">
        <v>104467</v>
      </c>
      <c r="E19" s="1" t="s">
        <v>36</v>
      </c>
      <c r="F19" s="4" t="s">
        <v>8</v>
      </c>
    </row>
    <row r="20" spans="1:15">
      <c r="A20" s="16">
        <v>16</v>
      </c>
      <c r="B20" s="1" t="s">
        <v>37</v>
      </c>
      <c r="C20" s="2">
        <v>27903</v>
      </c>
      <c r="D20" s="9">
        <v>104468</v>
      </c>
      <c r="E20" s="1" t="s">
        <v>38</v>
      </c>
      <c r="F20" s="4" t="s">
        <v>8</v>
      </c>
      <c r="H20" s="18" t="s">
        <v>352</v>
      </c>
    </row>
    <row r="21" spans="1:15">
      <c r="A21" s="16">
        <v>17</v>
      </c>
      <c r="B21" s="1" t="s">
        <v>39</v>
      </c>
      <c r="C21" s="2">
        <v>27904</v>
      </c>
      <c r="D21" s="9">
        <v>104469</v>
      </c>
      <c r="E21" s="1" t="s">
        <v>40</v>
      </c>
      <c r="F21" s="1" t="s">
        <v>8</v>
      </c>
      <c r="H21" s="19"/>
      <c r="I21" s="20"/>
      <c r="J21" s="20"/>
      <c r="K21" s="20"/>
      <c r="L21" s="20"/>
      <c r="M21" s="20"/>
      <c r="N21" s="20"/>
      <c r="O21" s="21"/>
    </row>
    <row r="22" spans="1:15">
      <c r="A22" s="16">
        <v>18</v>
      </c>
      <c r="B22" s="1" t="s">
        <v>41</v>
      </c>
      <c r="C22" s="2">
        <v>27905</v>
      </c>
      <c r="D22" s="9">
        <v>104470</v>
      </c>
      <c r="E22" s="1" t="s">
        <v>42</v>
      </c>
      <c r="F22" s="4" t="s">
        <v>8</v>
      </c>
      <c r="H22" s="22" t="s">
        <v>359</v>
      </c>
      <c r="I22" s="23" t="s">
        <v>353</v>
      </c>
      <c r="J22" s="23"/>
      <c r="K22" s="23"/>
      <c r="L22" s="23" t="s">
        <v>361</v>
      </c>
      <c r="M22" s="23" t="s">
        <v>357</v>
      </c>
      <c r="N22" s="23"/>
      <c r="O22" s="24"/>
    </row>
    <row r="23" spans="1:15">
      <c r="A23" s="16">
        <v>19</v>
      </c>
      <c r="B23" s="1" t="s">
        <v>43</v>
      </c>
      <c r="C23" s="2">
        <v>27906</v>
      </c>
      <c r="D23" s="9">
        <v>104471</v>
      </c>
      <c r="E23" s="1" t="s">
        <v>44</v>
      </c>
      <c r="F23" s="4" t="s">
        <v>8</v>
      </c>
      <c r="H23" s="22"/>
      <c r="I23" s="23"/>
      <c r="J23" s="23"/>
      <c r="K23" s="23"/>
      <c r="L23" s="23"/>
      <c r="M23" s="23"/>
      <c r="N23" s="23"/>
      <c r="O23" s="24"/>
    </row>
    <row r="24" spans="1:15">
      <c r="A24" s="16">
        <v>20</v>
      </c>
      <c r="B24" s="1" t="s">
        <v>45</v>
      </c>
      <c r="C24" s="2">
        <v>27907</v>
      </c>
      <c r="D24" s="9">
        <v>104472</v>
      </c>
      <c r="E24" s="1" t="s">
        <v>46</v>
      </c>
      <c r="F24" s="4" t="s">
        <v>8</v>
      </c>
      <c r="H24" s="22" t="s">
        <v>360</v>
      </c>
      <c r="I24" s="23" t="s">
        <v>356</v>
      </c>
      <c r="J24" s="23"/>
      <c r="K24" s="23"/>
      <c r="L24" s="23" t="s">
        <v>362</v>
      </c>
      <c r="M24" s="23" t="s">
        <v>358</v>
      </c>
      <c r="N24" s="23"/>
      <c r="O24" s="24"/>
    </row>
    <row r="25" spans="1:15">
      <c r="A25" s="16"/>
      <c r="B25" s="73" t="s">
        <v>49</v>
      </c>
      <c r="C25" s="73"/>
      <c r="D25" s="73"/>
      <c r="E25" s="73"/>
      <c r="F25" s="73"/>
      <c r="H25" s="25"/>
      <c r="I25" s="26"/>
      <c r="J25" s="26"/>
      <c r="K25" s="26"/>
      <c r="L25" s="26"/>
      <c r="M25" s="26"/>
      <c r="N25" s="26"/>
      <c r="O25" s="27"/>
    </row>
    <row r="26" spans="1:15">
      <c r="A26" s="16">
        <v>21</v>
      </c>
      <c r="B26" s="1" t="s">
        <v>50</v>
      </c>
      <c r="C26" s="3">
        <v>27700</v>
      </c>
      <c r="D26" s="9">
        <v>104433</v>
      </c>
      <c r="E26" s="1" t="s">
        <v>51</v>
      </c>
      <c r="F26" s="1" t="s">
        <v>8</v>
      </c>
    </row>
    <row r="27" spans="1:15">
      <c r="A27" s="16">
        <v>22</v>
      </c>
      <c r="B27" s="1" t="s">
        <v>52</v>
      </c>
      <c r="C27" s="2">
        <f t="shared" ref="C27:C41" si="0">C26+1</f>
        <v>27701</v>
      </c>
      <c r="D27" s="9">
        <v>104434</v>
      </c>
      <c r="E27" s="1" t="s">
        <v>53</v>
      </c>
      <c r="F27" s="4" t="s">
        <v>8</v>
      </c>
    </row>
    <row r="28" spans="1:15">
      <c r="A28" s="16">
        <v>23</v>
      </c>
      <c r="B28" s="1" t="s">
        <v>54</v>
      </c>
      <c r="C28" s="2">
        <f t="shared" si="0"/>
        <v>27702</v>
      </c>
      <c r="D28" s="9">
        <v>104435</v>
      </c>
      <c r="E28" s="1" t="s">
        <v>55</v>
      </c>
      <c r="F28" s="4" t="s">
        <v>8</v>
      </c>
    </row>
    <row r="29" spans="1:15">
      <c r="A29" s="16">
        <v>24</v>
      </c>
      <c r="B29" s="1" t="s">
        <v>56</v>
      </c>
      <c r="C29" s="2">
        <f t="shared" si="0"/>
        <v>27703</v>
      </c>
      <c r="D29" s="9">
        <v>104436</v>
      </c>
      <c r="E29" s="1" t="s">
        <v>57</v>
      </c>
      <c r="F29" s="4" t="s">
        <v>8</v>
      </c>
    </row>
    <row r="30" spans="1:15">
      <c r="A30" s="16">
        <v>25</v>
      </c>
      <c r="B30" s="1" t="s">
        <v>58</v>
      </c>
      <c r="C30" s="2">
        <f t="shared" si="0"/>
        <v>27704</v>
      </c>
      <c r="D30" s="9">
        <v>104437</v>
      </c>
      <c r="E30" s="1" t="s">
        <v>59</v>
      </c>
      <c r="F30" s="4" t="s">
        <v>8</v>
      </c>
    </row>
    <row r="31" spans="1:15">
      <c r="A31" s="16">
        <v>26</v>
      </c>
      <c r="B31" s="1" t="s">
        <v>60</v>
      </c>
      <c r="C31" s="2">
        <f t="shared" si="0"/>
        <v>27705</v>
      </c>
      <c r="D31" s="9">
        <v>104438</v>
      </c>
      <c r="E31" s="1" t="s">
        <v>61</v>
      </c>
      <c r="F31" s="4" t="s">
        <v>8</v>
      </c>
    </row>
    <row r="32" spans="1:15">
      <c r="A32" s="16">
        <v>27</v>
      </c>
      <c r="B32" s="1" t="s">
        <v>62</v>
      </c>
      <c r="C32" s="2">
        <f t="shared" si="0"/>
        <v>27706</v>
      </c>
      <c r="D32" s="9">
        <v>104439</v>
      </c>
      <c r="E32" s="1" t="s">
        <v>63</v>
      </c>
      <c r="F32" s="4" t="s">
        <v>8</v>
      </c>
    </row>
    <row r="33" spans="1:6">
      <c r="A33" s="16">
        <v>28</v>
      </c>
      <c r="B33" s="1" t="s">
        <v>64</v>
      </c>
      <c r="C33" s="2">
        <f t="shared" si="0"/>
        <v>27707</v>
      </c>
      <c r="D33" s="9">
        <v>104440</v>
      </c>
      <c r="E33" s="1" t="s">
        <v>65</v>
      </c>
      <c r="F33" s="4" t="s">
        <v>8</v>
      </c>
    </row>
    <row r="34" spans="1:6">
      <c r="A34" s="16">
        <v>29</v>
      </c>
      <c r="B34" s="1" t="s">
        <v>66</v>
      </c>
      <c r="C34" s="2">
        <f t="shared" si="0"/>
        <v>27708</v>
      </c>
      <c r="D34" s="9">
        <v>104441</v>
      </c>
      <c r="E34" s="1" t="s">
        <v>67</v>
      </c>
      <c r="F34" s="4" t="s">
        <v>8</v>
      </c>
    </row>
    <row r="35" spans="1:6">
      <c r="A35" s="16">
        <v>30</v>
      </c>
      <c r="B35" s="1" t="s">
        <v>68</v>
      </c>
      <c r="C35" s="2">
        <f t="shared" si="0"/>
        <v>27709</v>
      </c>
      <c r="D35" s="9">
        <v>104442</v>
      </c>
      <c r="E35" s="1" t="s">
        <v>69</v>
      </c>
      <c r="F35" s="4" t="s">
        <v>8</v>
      </c>
    </row>
    <row r="36" spans="1:6">
      <c r="A36" s="16">
        <v>31</v>
      </c>
      <c r="B36" s="1" t="s">
        <v>70</v>
      </c>
      <c r="C36" s="2">
        <f t="shared" si="0"/>
        <v>27710</v>
      </c>
      <c r="D36" s="9">
        <v>104443</v>
      </c>
      <c r="E36" s="1" t="s">
        <v>71</v>
      </c>
      <c r="F36" s="4" t="s">
        <v>8</v>
      </c>
    </row>
    <row r="37" spans="1:6">
      <c r="A37" s="16">
        <v>32</v>
      </c>
      <c r="B37" s="1" t="s">
        <v>72</v>
      </c>
      <c r="C37" s="2">
        <f t="shared" si="0"/>
        <v>27711</v>
      </c>
      <c r="D37" s="9">
        <v>104444</v>
      </c>
      <c r="E37" s="1" t="s">
        <v>73</v>
      </c>
      <c r="F37" s="4" t="s">
        <v>8</v>
      </c>
    </row>
    <row r="38" spans="1:6">
      <c r="A38" s="16">
        <v>33</v>
      </c>
      <c r="B38" s="1" t="s">
        <v>74</v>
      </c>
      <c r="C38" s="2">
        <f t="shared" si="0"/>
        <v>27712</v>
      </c>
      <c r="D38" s="9">
        <v>104445</v>
      </c>
      <c r="E38" s="1" t="s">
        <v>75</v>
      </c>
      <c r="F38" s="4" t="s">
        <v>8</v>
      </c>
    </row>
    <row r="39" spans="1:6">
      <c r="A39" s="16">
        <v>34</v>
      </c>
      <c r="B39" s="1" t="s">
        <v>76</v>
      </c>
      <c r="C39" s="2">
        <f t="shared" si="0"/>
        <v>27713</v>
      </c>
      <c r="D39" s="9">
        <v>104446</v>
      </c>
      <c r="E39" s="1" t="s">
        <v>77</v>
      </c>
      <c r="F39" s="4" t="s">
        <v>8</v>
      </c>
    </row>
    <row r="40" spans="1:6">
      <c r="A40" s="16">
        <v>35</v>
      </c>
      <c r="B40" s="1" t="s">
        <v>78</v>
      </c>
      <c r="C40" s="2">
        <f t="shared" si="0"/>
        <v>27714</v>
      </c>
      <c r="D40" s="9">
        <v>104447</v>
      </c>
      <c r="E40" s="1" t="s">
        <v>79</v>
      </c>
      <c r="F40" s="4" t="s">
        <v>8</v>
      </c>
    </row>
    <row r="41" spans="1:6">
      <c r="A41" s="16">
        <v>36</v>
      </c>
      <c r="B41" s="1" t="s">
        <v>80</v>
      </c>
      <c r="C41" s="2">
        <f t="shared" si="0"/>
        <v>27715</v>
      </c>
      <c r="D41" s="9">
        <v>104448</v>
      </c>
      <c r="E41" s="1" t="s">
        <v>81</v>
      </c>
      <c r="F41" s="4" t="s">
        <v>8</v>
      </c>
    </row>
    <row r="42" spans="1:6">
      <c r="A42" s="16">
        <v>37</v>
      </c>
      <c r="B42" s="1" t="s">
        <v>82</v>
      </c>
      <c r="C42" s="2">
        <v>27800</v>
      </c>
      <c r="D42" s="9">
        <v>104449</v>
      </c>
      <c r="E42" s="1" t="s">
        <v>83</v>
      </c>
      <c r="F42" s="4" t="s">
        <v>8</v>
      </c>
    </row>
    <row r="43" spans="1:6">
      <c r="A43" s="16">
        <v>38</v>
      </c>
      <c r="B43" s="1" t="s">
        <v>84</v>
      </c>
      <c r="C43" s="2">
        <f>C42+1</f>
        <v>27801</v>
      </c>
      <c r="D43" s="9">
        <v>104450</v>
      </c>
      <c r="E43" s="1" t="s">
        <v>85</v>
      </c>
      <c r="F43" s="4" t="s">
        <v>8</v>
      </c>
    </row>
    <row r="44" spans="1:6">
      <c r="A44" s="16">
        <v>39</v>
      </c>
      <c r="B44" s="1" t="s">
        <v>86</v>
      </c>
      <c r="C44" s="2">
        <v>27802</v>
      </c>
      <c r="D44" s="9">
        <v>104451</v>
      </c>
      <c r="E44" s="1" t="s">
        <v>87</v>
      </c>
      <c r="F44" s="1" t="s">
        <v>8</v>
      </c>
    </row>
    <row r="45" spans="1:6">
      <c r="A45" s="16">
        <v>40</v>
      </c>
      <c r="B45" s="1" t="s">
        <v>88</v>
      </c>
      <c r="C45" s="2">
        <f>C44+1</f>
        <v>27803</v>
      </c>
      <c r="D45" s="9">
        <v>104452</v>
      </c>
      <c r="E45" s="1" t="s">
        <v>89</v>
      </c>
      <c r="F45" s="4" t="s">
        <v>8</v>
      </c>
    </row>
    <row r="46" spans="1:6">
      <c r="A46" s="16"/>
      <c r="B46" s="73" t="s">
        <v>90</v>
      </c>
      <c r="C46" s="73"/>
      <c r="D46" s="73"/>
      <c r="E46" s="73"/>
      <c r="F46" s="73"/>
    </row>
    <row r="47" spans="1:6">
      <c r="A47" s="16">
        <v>41</v>
      </c>
      <c r="B47" s="1" t="s">
        <v>91</v>
      </c>
      <c r="C47" s="3">
        <v>28100</v>
      </c>
      <c r="D47" s="9">
        <v>104497</v>
      </c>
      <c r="E47" s="1" t="s">
        <v>92</v>
      </c>
      <c r="F47" s="1" t="s">
        <v>8</v>
      </c>
    </row>
    <row r="48" spans="1:6">
      <c r="A48" s="16">
        <v>42</v>
      </c>
      <c r="B48" s="1" t="s">
        <v>93</v>
      </c>
      <c r="C48" s="2">
        <f t="shared" ref="C48:C62" si="1">C47+1</f>
        <v>28101</v>
      </c>
      <c r="D48" s="9">
        <v>104498</v>
      </c>
      <c r="E48" s="1" t="s">
        <v>94</v>
      </c>
      <c r="F48" s="4" t="s">
        <v>8</v>
      </c>
    </row>
    <row r="49" spans="1:6">
      <c r="A49" s="16">
        <v>43</v>
      </c>
      <c r="B49" s="1" t="s">
        <v>95</v>
      </c>
      <c r="C49" s="2">
        <f t="shared" si="1"/>
        <v>28102</v>
      </c>
      <c r="D49" s="9">
        <v>104499</v>
      </c>
      <c r="E49" s="1" t="s">
        <v>96</v>
      </c>
      <c r="F49" s="4" t="s">
        <v>8</v>
      </c>
    </row>
    <row r="50" spans="1:6">
      <c r="A50" s="16">
        <v>44</v>
      </c>
      <c r="B50" s="1" t="s">
        <v>97</v>
      </c>
      <c r="C50" s="2">
        <f t="shared" si="1"/>
        <v>28103</v>
      </c>
      <c r="D50" s="9">
        <v>104500</v>
      </c>
      <c r="E50" s="1" t="s">
        <v>98</v>
      </c>
      <c r="F50" s="4" t="s">
        <v>8</v>
      </c>
    </row>
    <row r="51" spans="1:6">
      <c r="A51" s="16">
        <v>45</v>
      </c>
      <c r="B51" s="1" t="s">
        <v>99</v>
      </c>
      <c r="C51" s="2">
        <f t="shared" si="1"/>
        <v>28104</v>
      </c>
      <c r="D51" s="9">
        <v>104501</v>
      </c>
      <c r="E51" s="1" t="s">
        <v>100</v>
      </c>
      <c r="F51" s="4" t="s">
        <v>8</v>
      </c>
    </row>
    <row r="52" spans="1:6">
      <c r="A52" s="16">
        <v>46</v>
      </c>
      <c r="B52" s="1" t="s">
        <v>101</v>
      </c>
      <c r="C52" s="2">
        <f t="shared" si="1"/>
        <v>28105</v>
      </c>
      <c r="D52" s="9">
        <v>104502</v>
      </c>
      <c r="E52" s="1" t="s">
        <v>102</v>
      </c>
      <c r="F52" s="4" t="s">
        <v>8</v>
      </c>
    </row>
    <row r="53" spans="1:6">
      <c r="A53" s="16">
        <v>47</v>
      </c>
      <c r="B53" s="1" t="s">
        <v>103</v>
      </c>
      <c r="C53" s="2">
        <f t="shared" si="1"/>
        <v>28106</v>
      </c>
      <c r="D53" s="9">
        <v>104503</v>
      </c>
      <c r="E53" s="1" t="s">
        <v>104</v>
      </c>
      <c r="F53" s="4" t="s">
        <v>8</v>
      </c>
    </row>
    <row r="54" spans="1:6">
      <c r="A54" s="16">
        <v>48</v>
      </c>
      <c r="B54" s="1" t="s">
        <v>105</v>
      </c>
      <c r="C54" s="2">
        <f t="shared" si="1"/>
        <v>28107</v>
      </c>
      <c r="D54" s="9">
        <v>104504</v>
      </c>
      <c r="E54" s="1" t="s">
        <v>106</v>
      </c>
      <c r="F54" s="4" t="s">
        <v>8</v>
      </c>
    </row>
    <row r="55" spans="1:6">
      <c r="A55" s="16">
        <v>49</v>
      </c>
      <c r="B55" s="1" t="s">
        <v>107</v>
      </c>
      <c r="C55" s="2">
        <f t="shared" si="1"/>
        <v>28108</v>
      </c>
      <c r="D55" s="9">
        <v>104505</v>
      </c>
      <c r="E55" s="1" t="s">
        <v>108</v>
      </c>
      <c r="F55" s="4" t="s">
        <v>8</v>
      </c>
    </row>
    <row r="56" spans="1:6">
      <c r="A56" s="16">
        <v>50</v>
      </c>
      <c r="B56" s="1" t="s">
        <v>109</v>
      </c>
      <c r="C56" s="2">
        <f t="shared" si="1"/>
        <v>28109</v>
      </c>
      <c r="D56" s="9">
        <v>104506</v>
      </c>
      <c r="E56" s="1" t="s">
        <v>110</v>
      </c>
      <c r="F56" s="4" t="s">
        <v>8</v>
      </c>
    </row>
    <row r="57" spans="1:6">
      <c r="A57" s="16">
        <v>51</v>
      </c>
      <c r="B57" s="1" t="s">
        <v>111</v>
      </c>
      <c r="C57" s="2">
        <f t="shared" si="1"/>
        <v>28110</v>
      </c>
      <c r="D57" s="9">
        <v>104507</v>
      </c>
      <c r="E57" s="1" t="s">
        <v>112</v>
      </c>
      <c r="F57" s="4" t="s">
        <v>8</v>
      </c>
    </row>
    <row r="58" spans="1:6">
      <c r="A58" s="16">
        <v>52</v>
      </c>
      <c r="B58" s="1" t="s">
        <v>113</v>
      </c>
      <c r="C58" s="2">
        <f t="shared" si="1"/>
        <v>28111</v>
      </c>
      <c r="D58" s="9">
        <v>104508</v>
      </c>
      <c r="E58" s="1" t="s">
        <v>114</v>
      </c>
      <c r="F58" s="4" t="s">
        <v>8</v>
      </c>
    </row>
    <row r="59" spans="1:6">
      <c r="A59" s="16">
        <v>53</v>
      </c>
      <c r="B59" s="1" t="s">
        <v>115</v>
      </c>
      <c r="C59" s="2">
        <f t="shared" si="1"/>
        <v>28112</v>
      </c>
      <c r="D59" s="9">
        <v>104509</v>
      </c>
      <c r="E59" s="1" t="s">
        <v>116</v>
      </c>
      <c r="F59" s="4" t="s">
        <v>8</v>
      </c>
    </row>
    <row r="60" spans="1:6">
      <c r="A60" s="16">
        <v>54</v>
      </c>
      <c r="B60" s="1" t="s">
        <v>117</v>
      </c>
      <c r="C60" s="2">
        <f t="shared" si="1"/>
        <v>28113</v>
      </c>
      <c r="D60" s="9">
        <v>104510</v>
      </c>
      <c r="E60" s="1" t="s">
        <v>118</v>
      </c>
      <c r="F60" s="4" t="s">
        <v>8</v>
      </c>
    </row>
    <row r="61" spans="1:6">
      <c r="A61" s="16">
        <v>55</v>
      </c>
      <c r="B61" s="1" t="s">
        <v>119</v>
      </c>
      <c r="C61" s="2">
        <f t="shared" si="1"/>
        <v>28114</v>
      </c>
      <c r="D61" s="9">
        <v>104511</v>
      </c>
      <c r="E61" s="1" t="s">
        <v>120</v>
      </c>
      <c r="F61" s="4" t="s">
        <v>8</v>
      </c>
    </row>
    <row r="62" spans="1:6">
      <c r="A62" s="16">
        <v>56</v>
      </c>
      <c r="B62" s="1" t="s">
        <v>121</v>
      </c>
      <c r="C62" s="2">
        <f t="shared" si="1"/>
        <v>28115</v>
      </c>
      <c r="D62" s="9">
        <v>104512</v>
      </c>
      <c r="E62" s="1" t="s">
        <v>122</v>
      </c>
      <c r="F62" s="4" t="s">
        <v>8</v>
      </c>
    </row>
    <row r="63" spans="1:6">
      <c r="A63" s="16">
        <v>57</v>
      </c>
      <c r="B63" s="1" t="s">
        <v>123</v>
      </c>
      <c r="C63" s="2">
        <v>28200</v>
      </c>
      <c r="D63" s="9">
        <v>104513</v>
      </c>
      <c r="E63" s="1" t="s">
        <v>124</v>
      </c>
      <c r="F63" s="4" t="s">
        <v>8</v>
      </c>
    </row>
    <row r="64" spans="1:6">
      <c r="A64" s="16">
        <v>58</v>
      </c>
      <c r="B64" s="1" t="s">
        <v>125</v>
      </c>
      <c r="C64" s="2">
        <f>C63+1</f>
        <v>28201</v>
      </c>
      <c r="D64" s="9">
        <v>104514</v>
      </c>
      <c r="E64" s="1" t="s">
        <v>126</v>
      </c>
      <c r="F64" s="4" t="s">
        <v>8</v>
      </c>
    </row>
    <row r="65" spans="1:6">
      <c r="A65" s="16">
        <v>59</v>
      </c>
      <c r="B65" s="1" t="s">
        <v>127</v>
      </c>
      <c r="C65" s="2">
        <v>28202</v>
      </c>
      <c r="D65" s="9">
        <v>104515</v>
      </c>
      <c r="E65" s="1" t="s">
        <v>128</v>
      </c>
      <c r="F65" s="1" t="s">
        <v>8</v>
      </c>
    </row>
    <row r="66" spans="1:6">
      <c r="A66" s="16">
        <v>60</v>
      </c>
      <c r="B66" s="1" t="s">
        <v>129</v>
      </c>
      <c r="C66" s="2">
        <f>C65+1</f>
        <v>28203</v>
      </c>
      <c r="D66" s="9">
        <v>104516</v>
      </c>
      <c r="E66" s="1" t="s">
        <v>130</v>
      </c>
      <c r="F66" s="4" t="s">
        <v>8</v>
      </c>
    </row>
    <row r="67" spans="1:6">
      <c r="A67" s="16"/>
      <c r="B67" s="73" t="s">
        <v>131</v>
      </c>
      <c r="C67" s="73"/>
      <c r="D67" s="73"/>
      <c r="E67" s="73"/>
      <c r="F67" s="73"/>
    </row>
    <row r="68" spans="1:6">
      <c r="A68" s="16">
        <v>61</v>
      </c>
      <c r="B68" s="1" t="s">
        <v>132</v>
      </c>
      <c r="C68" s="2">
        <v>28204</v>
      </c>
      <c r="D68" s="9">
        <v>104517</v>
      </c>
      <c r="E68" s="1" t="s">
        <v>133</v>
      </c>
      <c r="F68" s="4" t="s">
        <v>8</v>
      </c>
    </row>
    <row r="69" spans="1:6">
      <c r="A69" s="16">
        <v>62</v>
      </c>
      <c r="B69" s="1" t="s">
        <v>134</v>
      </c>
      <c r="C69" s="2">
        <v>28205</v>
      </c>
      <c r="D69" s="9">
        <v>104518</v>
      </c>
      <c r="E69" s="1" t="s">
        <v>135</v>
      </c>
      <c r="F69" s="4" t="s">
        <v>8</v>
      </c>
    </row>
    <row r="70" spans="1:6">
      <c r="A70" s="16">
        <v>63</v>
      </c>
      <c r="B70" s="1" t="s">
        <v>136</v>
      </c>
      <c r="C70" s="2">
        <v>28206</v>
      </c>
      <c r="D70" s="9">
        <v>104519</v>
      </c>
      <c r="E70" s="1" t="s">
        <v>137</v>
      </c>
      <c r="F70" s="4" t="s">
        <v>8</v>
      </c>
    </row>
    <row r="71" spans="1:6">
      <c r="A71" s="16">
        <v>64</v>
      </c>
      <c r="B71" s="1" t="s">
        <v>138</v>
      </c>
      <c r="C71" s="2">
        <v>28207</v>
      </c>
      <c r="D71" s="9">
        <v>104520</v>
      </c>
      <c r="E71" s="1" t="s">
        <v>139</v>
      </c>
      <c r="F71" s="4" t="s">
        <v>8</v>
      </c>
    </row>
    <row r="72" spans="1:6">
      <c r="A72" s="16">
        <v>65</v>
      </c>
      <c r="B72" s="1" t="s">
        <v>140</v>
      </c>
      <c r="C72" s="2">
        <v>28208</v>
      </c>
      <c r="D72" s="9">
        <v>104521</v>
      </c>
      <c r="E72" s="1" t="s">
        <v>141</v>
      </c>
      <c r="F72" s="4" t="s">
        <v>8</v>
      </c>
    </row>
    <row r="73" spans="1:6">
      <c r="A73" s="16">
        <v>66</v>
      </c>
      <c r="B73" s="1" t="s">
        <v>142</v>
      </c>
      <c r="C73" s="2">
        <v>28209</v>
      </c>
      <c r="D73" s="9">
        <v>104522</v>
      </c>
      <c r="E73" s="1" t="s">
        <v>143</v>
      </c>
      <c r="F73" s="4" t="s">
        <v>8</v>
      </c>
    </row>
    <row r="74" spans="1:6">
      <c r="A74" s="16">
        <v>67</v>
      </c>
      <c r="B74" s="1" t="s">
        <v>144</v>
      </c>
      <c r="C74" s="2">
        <v>28210</v>
      </c>
      <c r="D74" s="9">
        <v>104523</v>
      </c>
      <c r="E74" s="1" t="s">
        <v>145</v>
      </c>
      <c r="F74" s="4" t="s">
        <v>8</v>
      </c>
    </row>
    <row r="75" spans="1:6">
      <c r="A75" s="16">
        <v>68</v>
      </c>
      <c r="B75" s="1" t="s">
        <v>146</v>
      </c>
      <c r="C75" s="2">
        <v>28211</v>
      </c>
      <c r="D75" s="9">
        <v>104524</v>
      </c>
      <c r="E75" s="1" t="s">
        <v>147</v>
      </c>
      <c r="F75" s="4" t="s">
        <v>8</v>
      </c>
    </row>
    <row r="76" spans="1:6">
      <c r="A76" s="16">
        <v>69</v>
      </c>
      <c r="B76" s="1" t="s">
        <v>148</v>
      </c>
      <c r="C76" s="2">
        <v>28212</v>
      </c>
      <c r="D76" s="9">
        <v>104525</v>
      </c>
      <c r="E76" s="1" t="s">
        <v>149</v>
      </c>
      <c r="F76" s="4" t="s">
        <v>8</v>
      </c>
    </row>
    <row r="77" spans="1:6">
      <c r="A77" s="16">
        <v>70</v>
      </c>
      <c r="B77" s="1" t="s">
        <v>150</v>
      </c>
      <c r="C77" s="2">
        <v>28213</v>
      </c>
      <c r="D77" s="9">
        <v>104526</v>
      </c>
      <c r="E77" s="1" t="s">
        <v>151</v>
      </c>
      <c r="F77" s="4" t="s">
        <v>8</v>
      </c>
    </row>
    <row r="78" spans="1:6">
      <c r="A78" s="16">
        <v>71</v>
      </c>
      <c r="B78" s="1" t="s">
        <v>152</v>
      </c>
      <c r="C78" s="2">
        <v>28214</v>
      </c>
      <c r="D78" s="9">
        <v>104527</v>
      </c>
      <c r="E78" s="1" t="s">
        <v>153</v>
      </c>
      <c r="F78" s="4" t="s">
        <v>8</v>
      </c>
    </row>
    <row r="79" spans="1:6">
      <c r="A79" s="16">
        <v>72</v>
      </c>
      <c r="B79" s="1" t="s">
        <v>154</v>
      </c>
      <c r="C79" s="2">
        <v>28215</v>
      </c>
      <c r="D79" s="9">
        <v>104528</v>
      </c>
      <c r="E79" s="1" t="s">
        <v>155</v>
      </c>
      <c r="F79" s="4" t="s">
        <v>8</v>
      </c>
    </row>
    <row r="80" spans="1:6">
      <c r="A80" s="16">
        <v>73</v>
      </c>
      <c r="B80" s="1" t="s">
        <v>156</v>
      </c>
      <c r="C80" s="2">
        <v>28300</v>
      </c>
      <c r="D80" s="9">
        <v>104529</v>
      </c>
      <c r="E80" s="1" t="s">
        <v>157</v>
      </c>
      <c r="F80" s="4" t="s">
        <v>8</v>
      </c>
    </row>
    <row r="81" spans="1:6">
      <c r="A81" s="16">
        <v>74</v>
      </c>
      <c r="B81" s="1" t="s">
        <v>158</v>
      </c>
      <c r="C81" s="2">
        <v>28301</v>
      </c>
      <c r="D81" s="9">
        <v>104530</v>
      </c>
      <c r="E81" s="1" t="s">
        <v>159</v>
      </c>
      <c r="F81" s="4" t="s">
        <v>8</v>
      </c>
    </row>
    <row r="82" spans="1:6">
      <c r="A82" s="16">
        <v>75</v>
      </c>
      <c r="B82" s="1" t="s">
        <v>160</v>
      </c>
      <c r="C82" s="2">
        <v>28302</v>
      </c>
      <c r="D82" s="9">
        <v>104531</v>
      </c>
      <c r="E82" s="1" t="s">
        <v>161</v>
      </c>
      <c r="F82" s="4" t="s">
        <v>8</v>
      </c>
    </row>
    <row r="83" spans="1:6">
      <c r="A83" s="16">
        <v>76</v>
      </c>
      <c r="B83" s="1" t="s">
        <v>162</v>
      </c>
      <c r="C83" s="2">
        <v>28303</v>
      </c>
      <c r="D83" s="9">
        <v>104532</v>
      </c>
      <c r="E83" s="1" t="s">
        <v>163</v>
      </c>
      <c r="F83" s="4" t="s">
        <v>8</v>
      </c>
    </row>
    <row r="84" spans="1:6">
      <c r="A84" s="16">
        <v>77</v>
      </c>
      <c r="B84" s="1" t="s">
        <v>164</v>
      </c>
      <c r="C84" s="2">
        <v>28304</v>
      </c>
      <c r="D84" s="9">
        <v>104533</v>
      </c>
      <c r="E84" s="1" t="s">
        <v>165</v>
      </c>
      <c r="F84" s="1" t="s">
        <v>8</v>
      </c>
    </row>
    <row r="85" spans="1:6">
      <c r="A85" s="16">
        <v>78</v>
      </c>
      <c r="B85" s="1" t="s">
        <v>166</v>
      </c>
      <c r="C85" s="2">
        <v>28305</v>
      </c>
      <c r="D85" s="9">
        <v>104534</v>
      </c>
      <c r="E85" s="1" t="s">
        <v>167</v>
      </c>
      <c r="F85" s="4" t="s">
        <v>8</v>
      </c>
    </row>
    <row r="86" spans="1:6">
      <c r="A86" s="16">
        <v>79</v>
      </c>
      <c r="B86" s="1" t="s">
        <v>168</v>
      </c>
      <c r="C86" s="2">
        <v>28306</v>
      </c>
      <c r="D86" s="9">
        <v>104535</v>
      </c>
      <c r="E86" s="1" t="s">
        <v>169</v>
      </c>
      <c r="F86" s="4" t="s">
        <v>8</v>
      </c>
    </row>
    <row r="87" spans="1:6">
      <c r="A87" s="16">
        <v>80</v>
      </c>
      <c r="B87" s="1" t="s">
        <v>170</v>
      </c>
      <c r="C87" s="2">
        <v>28307</v>
      </c>
      <c r="D87" s="9">
        <v>104536</v>
      </c>
      <c r="E87" s="1" t="s">
        <v>171</v>
      </c>
      <c r="F87" s="4" t="s">
        <v>8</v>
      </c>
    </row>
    <row r="88" spans="1:6">
      <c r="A88" s="16"/>
      <c r="B88" s="73" t="s">
        <v>172</v>
      </c>
      <c r="C88" s="73"/>
      <c r="D88" s="73"/>
      <c r="E88" s="73"/>
      <c r="F88" s="73"/>
    </row>
    <row r="89" spans="1:6">
      <c r="A89" s="16">
        <v>81</v>
      </c>
      <c r="B89" s="1" t="s">
        <v>173</v>
      </c>
      <c r="C89" s="2">
        <v>27908</v>
      </c>
      <c r="D89" s="9">
        <v>104473</v>
      </c>
      <c r="E89" s="1" t="s">
        <v>174</v>
      </c>
      <c r="F89" s="4" t="s">
        <v>8</v>
      </c>
    </row>
    <row r="90" spans="1:6">
      <c r="A90" s="16">
        <v>82</v>
      </c>
      <c r="B90" s="1" t="s">
        <v>175</v>
      </c>
      <c r="C90" s="2">
        <v>27909</v>
      </c>
      <c r="D90" s="9">
        <v>104474</v>
      </c>
      <c r="E90" s="1" t="s">
        <v>176</v>
      </c>
      <c r="F90" s="4" t="s">
        <v>8</v>
      </c>
    </row>
    <row r="91" spans="1:6">
      <c r="A91" s="16">
        <v>83</v>
      </c>
      <c r="B91" s="1" t="s">
        <v>177</v>
      </c>
      <c r="C91" s="2">
        <v>27910</v>
      </c>
      <c r="D91" s="9">
        <v>104475</v>
      </c>
      <c r="E91" s="1" t="s">
        <v>178</v>
      </c>
      <c r="F91" s="4" t="s">
        <v>8</v>
      </c>
    </row>
    <row r="92" spans="1:6">
      <c r="A92" s="16">
        <v>84</v>
      </c>
      <c r="B92" s="1" t="s">
        <v>179</v>
      </c>
      <c r="C92" s="2">
        <v>27911</v>
      </c>
      <c r="D92" s="9">
        <v>104476</v>
      </c>
      <c r="E92" s="1" t="s">
        <v>180</v>
      </c>
      <c r="F92" s="4" t="s">
        <v>8</v>
      </c>
    </row>
    <row r="93" spans="1:6">
      <c r="A93" s="16">
        <v>85</v>
      </c>
      <c r="B93" s="1" t="s">
        <v>181</v>
      </c>
      <c r="C93" s="2">
        <v>27912</v>
      </c>
      <c r="D93" s="9">
        <v>104477</v>
      </c>
      <c r="E93" s="1" t="s">
        <v>182</v>
      </c>
      <c r="F93" s="4" t="s">
        <v>8</v>
      </c>
    </row>
    <row r="94" spans="1:6">
      <c r="A94" s="16">
        <v>86</v>
      </c>
      <c r="B94" s="1" t="s">
        <v>183</v>
      </c>
      <c r="C94" s="2">
        <v>27913</v>
      </c>
      <c r="D94" s="9">
        <v>104478</v>
      </c>
      <c r="E94" s="1" t="s">
        <v>184</v>
      </c>
      <c r="F94" s="4" t="s">
        <v>8</v>
      </c>
    </row>
    <row r="95" spans="1:6">
      <c r="A95" s="16">
        <v>87</v>
      </c>
      <c r="B95" s="1" t="s">
        <v>185</v>
      </c>
      <c r="C95" s="2">
        <v>27914</v>
      </c>
      <c r="D95" s="9">
        <v>104479</v>
      </c>
      <c r="E95" s="1" t="s">
        <v>186</v>
      </c>
      <c r="F95" s="4" t="s">
        <v>8</v>
      </c>
    </row>
    <row r="96" spans="1:6">
      <c r="A96" s="16">
        <v>88</v>
      </c>
      <c r="B96" s="1" t="s">
        <v>187</v>
      </c>
      <c r="C96" s="2">
        <v>27915</v>
      </c>
      <c r="D96" s="9">
        <v>104480</v>
      </c>
      <c r="E96" s="1" t="s">
        <v>188</v>
      </c>
      <c r="F96" s="4" t="s">
        <v>8</v>
      </c>
    </row>
    <row r="97" spans="1:6">
      <c r="A97" s="16">
        <v>89</v>
      </c>
      <c r="B97" s="1" t="s">
        <v>189</v>
      </c>
      <c r="C97" s="2">
        <v>28000</v>
      </c>
      <c r="D97" s="9">
        <v>104481</v>
      </c>
      <c r="E97" s="1" t="s">
        <v>190</v>
      </c>
      <c r="F97" s="4" t="s">
        <v>8</v>
      </c>
    </row>
    <row r="98" spans="1:6">
      <c r="A98" s="16">
        <v>90</v>
      </c>
      <c r="B98" s="1" t="s">
        <v>191</v>
      </c>
      <c r="C98" s="2">
        <v>28001</v>
      </c>
      <c r="D98" s="9">
        <v>104482</v>
      </c>
      <c r="E98" s="1" t="s">
        <v>192</v>
      </c>
      <c r="F98" s="4" t="s">
        <v>8</v>
      </c>
    </row>
    <row r="99" spans="1:6">
      <c r="A99" s="16">
        <v>91</v>
      </c>
      <c r="B99" s="1" t="s">
        <v>193</v>
      </c>
      <c r="C99" s="2">
        <v>28002</v>
      </c>
      <c r="D99" s="9">
        <v>104483</v>
      </c>
      <c r="E99" s="1" t="s">
        <v>194</v>
      </c>
      <c r="F99" s="4" t="s">
        <v>8</v>
      </c>
    </row>
    <row r="100" spans="1:6">
      <c r="A100" s="16">
        <v>92</v>
      </c>
      <c r="B100" s="1" t="s">
        <v>195</v>
      </c>
      <c r="C100" s="2">
        <v>28003</v>
      </c>
      <c r="D100" s="9">
        <v>104484</v>
      </c>
      <c r="E100" s="1" t="s">
        <v>196</v>
      </c>
      <c r="F100" s="4" t="s">
        <v>8</v>
      </c>
    </row>
    <row r="101" spans="1:6">
      <c r="A101" s="16">
        <v>93</v>
      </c>
      <c r="B101" s="1" t="s">
        <v>197</v>
      </c>
      <c r="C101" s="2">
        <v>28004</v>
      </c>
      <c r="D101" s="9">
        <v>104485</v>
      </c>
      <c r="E101" s="1" t="s">
        <v>198</v>
      </c>
      <c r="F101" s="4" t="s">
        <v>8</v>
      </c>
    </row>
    <row r="102" spans="1:6">
      <c r="A102" s="16">
        <v>94</v>
      </c>
      <c r="B102" s="1" t="s">
        <v>199</v>
      </c>
      <c r="C102" s="2">
        <v>28005</v>
      </c>
      <c r="D102" s="9">
        <v>104486</v>
      </c>
      <c r="E102" s="1" t="s">
        <v>200</v>
      </c>
      <c r="F102" s="4" t="s">
        <v>8</v>
      </c>
    </row>
    <row r="103" spans="1:6">
      <c r="A103" s="16">
        <v>95</v>
      </c>
      <c r="B103" s="1" t="s">
        <v>201</v>
      </c>
      <c r="C103" s="2">
        <v>28006</v>
      </c>
      <c r="D103" s="9">
        <v>104487</v>
      </c>
      <c r="E103" s="1" t="s">
        <v>202</v>
      </c>
      <c r="F103" s="1" t="s">
        <v>8</v>
      </c>
    </row>
    <row r="104" spans="1:6">
      <c r="A104" s="16">
        <v>96</v>
      </c>
      <c r="B104" s="1" t="s">
        <v>203</v>
      </c>
      <c r="C104" s="2">
        <v>28007</v>
      </c>
      <c r="D104" s="9">
        <v>104488</v>
      </c>
      <c r="E104" s="1" t="s">
        <v>204</v>
      </c>
      <c r="F104" s="4" t="s">
        <v>8</v>
      </c>
    </row>
    <row r="105" spans="1:6">
      <c r="A105" s="16">
        <v>97</v>
      </c>
      <c r="B105" s="1" t="s">
        <v>205</v>
      </c>
      <c r="C105" s="2">
        <v>28008</v>
      </c>
      <c r="D105" s="9">
        <v>104489</v>
      </c>
      <c r="E105" s="1" t="s">
        <v>206</v>
      </c>
      <c r="F105" s="4" t="s">
        <v>8</v>
      </c>
    </row>
    <row r="106" spans="1:6">
      <c r="A106" s="16">
        <v>98</v>
      </c>
      <c r="B106" s="1" t="s">
        <v>207</v>
      </c>
      <c r="C106" s="2">
        <v>28009</v>
      </c>
      <c r="D106" s="9">
        <v>104490</v>
      </c>
      <c r="E106" s="1" t="s">
        <v>208</v>
      </c>
      <c r="F106" s="4" t="s">
        <v>8</v>
      </c>
    </row>
    <row r="107" spans="1:6">
      <c r="A107" s="16"/>
      <c r="B107" s="74" t="s">
        <v>209</v>
      </c>
      <c r="C107" s="75"/>
      <c r="D107" s="75"/>
      <c r="E107" s="75"/>
      <c r="F107" s="76"/>
    </row>
    <row r="108" spans="1:6">
      <c r="A108" s="16">
        <v>99</v>
      </c>
      <c r="B108" s="1" t="s">
        <v>210</v>
      </c>
      <c r="C108" s="2">
        <v>28308</v>
      </c>
      <c r="D108" s="9">
        <v>104537</v>
      </c>
      <c r="E108" s="1" t="s">
        <v>211</v>
      </c>
      <c r="F108" s="4" t="s">
        <v>8</v>
      </c>
    </row>
    <row r="109" spans="1:6">
      <c r="A109" s="16">
        <v>100</v>
      </c>
      <c r="B109" s="1" t="s">
        <v>212</v>
      </c>
      <c r="C109" s="2">
        <v>28309</v>
      </c>
      <c r="D109" s="9">
        <v>104538</v>
      </c>
      <c r="E109" s="1" t="s">
        <v>213</v>
      </c>
      <c r="F109" s="4" t="s">
        <v>8</v>
      </c>
    </row>
    <row r="110" spans="1:6">
      <c r="A110" s="16">
        <v>101</v>
      </c>
      <c r="B110" s="1" t="s">
        <v>214</v>
      </c>
      <c r="C110" s="2">
        <v>28310</v>
      </c>
      <c r="D110" s="9">
        <v>104539</v>
      </c>
      <c r="E110" s="1" t="s">
        <v>215</v>
      </c>
      <c r="F110" s="4" t="s">
        <v>8</v>
      </c>
    </row>
    <row r="111" spans="1:6">
      <c r="A111" s="16">
        <v>102</v>
      </c>
      <c r="B111" s="1" t="s">
        <v>216</v>
      </c>
      <c r="C111" s="2">
        <v>28311</v>
      </c>
      <c r="D111" s="9">
        <v>104540</v>
      </c>
      <c r="E111" s="1" t="s">
        <v>217</v>
      </c>
      <c r="F111" s="4" t="s">
        <v>8</v>
      </c>
    </row>
    <row r="112" spans="1:6">
      <c r="A112" s="16">
        <v>103</v>
      </c>
      <c r="B112" s="1" t="s">
        <v>218</v>
      </c>
      <c r="C112" s="2">
        <v>28312</v>
      </c>
      <c r="D112" s="9">
        <v>104541</v>
      </c>
      <c r="E112" s="1" t="s">
        <v>219</v>
      </c>
      <c r="F112" s="4" t="s">
        <v>8</v>
      </c>
    </row>
    <row r="113" spans="1:6">
      <c r="A113" s="16">
        <v>104</v>
      </c>
      <c r="B113" s="1" t="s">
        <v>220</v>
      </c>
      <c r="C113" s="2">
        <v>28313</v>
      </c>
      <c r="D113" s="9">
        <v>104542</v>
      </c>
      <c r="E113" s="1" t="s">
        <v>221</v>
      </c>
      <c r="F113" s="4" t="s">
        <v>8</v>
      </c>
    </row>
    <row r="114" spans="1:6">
      <c r="A114" s="16">
        <v>105</v>
      </c>
      <c r="B114" s="1" t="s">
        <v>222</v>
      </c>
      <c r="C114" s="2">
        <v>28314</v>
      </c>
      <c r="D114" s="9">
        <v>104543</v>
      </c>
      <c r="E114" s="1" t="s">
        <v>223</v>
      </c>
      <c r="F114" s="4" t="s">
        <v>8</v>
      </c>
    </row>
    <row r="115" spans="1:6">
      <c r="A115" s="16">
        <v>106</v>
      </c>
      <c r="B115" s="1" t="s">
        <v>224</v>
      </c>
      <c r="C115" s="2">
        <v>28315</v>
      </c>
      <c r="D115" s="9">
        <v>104544</v>
      </c>
      <c r="E115" s="1" t="s">
        <v>225</v>
      </c>
      <c r="F115" s="4" t="s">
        <v>8</v>
      </c>
    </row>
    <row r="116" spans="1:6">
      <c r="A116" s="16">
        <v>107</v>
      </c>
      <c r="B116" s="1" t="s">
        <v>226</v>
      </c>
      <c r="C116" s="2">
        <v>28400</v>
      </c>
      <c r="D116" s="9">
        <v>104545</v>
      </c>
      <c r="E116" s="1" t="s">
        <v>227</v>
      </c>
      <c r="F116" s="4" t="s">
        <v>8</v>
      </c>
    </row>
    <row r="117" spans="1:6">
      <c r="A117" s="16">
        <v>108</v>
      </c>
      <c r="B117" s="1" t="s">
        <v>228</v>
      </c>
      <c r="C117" s="2">
        <v>28401</v>
      </c>
      <c r="D117" s="9">
        <v>104546</v>
      </c>
      <c r="E117" s="1" t="s">
        <v>229</v>
      </c>
      <c r="F117" s="4" t="s">
        <v>8</v>
      </c>
    </row>
    <row r="118" spans="1:6">
      <c r="A118" s="16">
        <v>109</v>
      </c>
      <c r="B118" s="1" t="s">
        <v>230</v>
      </c>
      <c r="C118" s="2">
        <v>28402</v>
      </c>
      <c r="D118" s="9">
        <v>104547</v>
      </c>
      <c r="E118" s="1" t="s">
        <v>231</v>
      </c>
      <c r="F118" s="4" t="s">
        <v>8</v>
      </c>
    </row>
    <row r="119" spans="1:6">
      <c r="A119" s="16">
        <v>110</v>
      </c>
      <c r="B119" s="1" t="s">
        <v>232</v>
      </c>
      <c r="C119" s="2">
        <v>28403</v>
      </c>
      <c r="D119" s="9">
        <v>104548</v>
      </c>
      <c r="E119" s="1" t="s">
        <v>233</v>
      </c>
      <c r="F119" s="4" t="s">
        <v>8</v>
      </c>
    </row>
    <row r="120" spans="1:6">
      <c r="A120" s="16">
        <v>111</v>
      </c>
      <c r="B120" s="1" t="s">
        <v>234</v>
      </c>
      <c r="C120" s="2">
        <v>28404</v>
      </c>
      <c r="D120" s="9">
        <v>104549</v>
      </c>
      <c r="E120" s="1" t="s">
        <v>235</v>
      </c>
      <c r="F120" s="4" t="s">
        <v>8</v>
      </c>
    </row>
    <row r="121" spans="1:6">
      <c r="A121" s="16">
        <v>112</v>
      </c>
      <c r="B121" s="1" t="s">
        <v>236</v>
      </c>
      <c r="C121" s="2">
        <v>28405</v>
      </c>
      <c r="D121" s="9">
        <v>104550</v>
      </c>
      <c r="E121" s="1" t="s">
        <v>237</v>
      </c>
      <c r="F121" s="4" t="s">
        <v>8</v>
      </c>
    </row>
    <row r="122" spans="1:6">
      <c r="A122" s="16">
        <v>113</v>
      </c>
      <c r="B122" s="1" t="s">
        <v>238</v>
      </c>
      <c r="C122" s="2">
        <v>28406</v>
      </c>
      <c r="D122" s="9">
        <v>104551</v>
      </c>
      <c r="E122" s="1" t="s">
        <v>239</v>
      </c>
      <c r="F122" s="1" t="s">
        <v>8</v>
      </c>
    </row>
    <row r="123" spans="1:6">
      <c r="A123" s="16">
        <v>114</v>
      </c>
      <c r="B123" s="1" t="s">
        <v>240</v>
      </c>
      <c r="C123" s="2">
        <v>28407</v>
      </c>
      <c r="D123" s="9">
        <v>104552</v>
      </c>
      <c r="E123" s="1" t="s">
        <v>241</v>
      </c>
      <c r="F123" s="4" t="s">
        <v>8</v>
      </c>
    </row>
    <row r="124" spans="1:6">
      <c r="A124" s="16">
        <v>115</v>
      </c>
      <c r="B124" s="1" t="s">
        <v>242</v>
      </c>
      <c r="C124" s="2">
        <v>28408</v>
      </c>
      <c r="D124" s="9">
        <v>104553</v>
      </c>
      <c r="E124" s="1" t="s">
        <v>243</v>
      </c>
      <c r="F124" s="4" t="s">
        <v>8</v>
      </c>
    </row>
    <row r="125" spans="1:6">
      <c r="A125" s="16">
        <v>116</v>
      </c>
      <c r="B125" s="1" t="s">
        <v>244</v>
      </c>
      <c r="C125" s="2">
        <v>28409</v>
      </c>
      <c r="D125" s="9">
        <v>104554</v>
      </c>
      <c r="E125" s="1" t="s">
        <v>245</v>
      </c>
      <c r="F125" s="4" t="s">
        <v>8</v>
      </c>
    </row>
    <row r="126" spans="1:6">
      <c r="A126" s="16"/>
      <c r="B126" s="73" t="s">
        <v>246</v>
      </c>
      <c r="C126" s="73"/>
      <c r="D126" s="73"/>
      <c r="E126" s="73"/>
      <c r="F126" s="73"/>
    </row>
    <row r="127" spans="1:6">
      <c r="A127" s="16">
        <v>1</v>
      </c>
      <c r="B127" s="4" t="s">
        <v>247</v>
      </c>
      <c r="C127" s="2">
        <v>28500</v>
      </c>
      <c r="D127" s="9">
        <v>104561</v>
      </c>
      <c r="E127" s="4" t="s">
        <v>345</v>
      </c>
      <c r="F127" s="4" t="s">
        <v>8</v>
      </c>
    </row>
    <row r="128" spans="1:6">
      <c r="A128" s="16">
        <v>2</v>
      </c>
      <c r="B128" s="4" t="s">
        <v>248</v>
      </c>
      <c r="C128" s="2">
        <v>28501</v>
      </c>
      <c r="D128" s="9">
        <v>104562</v>
      </c>
      <c r="E128" s="4" t="s">
        <v>249</v>
      </c>
      <c r="F128" s="4" t="s">
        <v>8</v>
      </c>
    </row>
    <row r="129" spans="1:6">
      <c r="A129" s="16">
        <v>3</v>
      </c>
      <c r="B129" s="4" t="s">
        <v>250</v>
      </c>
      <c r="C129" s="2">
        <v>28502</v>
      </c>
      <c r="D129" s="9">
        <v>104563</v>
      </c>
      <c r="E129" s="4" t="s">
        <v>251</v>
      </c>
      <c r="F129" s="4" t="s">
        <v>8</v>
      </c>
    </row>
    <row r="130" spans="1:6">
      <c r="A130" s="16">
        <v>4</v>
      </c>
      <c r="B130" s="4" t="s">
        <v>252</v>
      </c>
      <c r="C130" s="2">
        <v>28503</v>
      </c>
      <c r="D130" s="9">
        <v>104564</v>
      </c>
      <c r="E130" s="4" t="s">
        <v>253</v>
      </c>
      <c r="F130" s="4" t="s">
        <v>8</v>
      </c>
    </row>
    <row r="131" spans="1:6">
      <c r="A131" s="16">
        <v>5</v>
      </c>
      <c r="B131" s="4" t="s">
        <v>254</v>
      </c>
      <c r="C131" s="2">
        <v>28504</v>
      </c>
      <c r="D131" s="9">
        <v>104565</v>
      </c>
      <c r="E131" s="4" t="s">
        <v>255</v>
      </c>
      <c r="F131" s="4" t="s">
        <v>8</v>
      </c>
    </row>
    <row r="132" spans="1:6">
      <c r="A132" s="16">
        <v>6</v>
      </c>
      <c r="B132" s="4" t="s">
        <v>256</v>
      </c>
      <c r="C132" s="2">
        <v>28505</v>
      </c>
      <c r="D132" s="9">
        <v>104566</v>
      </c>
      <c r="E132" s="4" t="s">
        <v>257</v>
      </c>
      <c r="F132" s="4" t="s">
        <v>8</v>
      </c>
    </row>
    <row r="133" spans="1:6">
      <c r="A133" s="16">
        <v>7</v>
      </c>
      <c r="B133" s="4" t="s">
        <v>258</v>
      </c>
      <c r="C133" s="2">
        <v>28506</v>
      </c>
      <c r="D133" s="9">
        <v>104567</v>
      </c>
      <c r="E133" s="4" t="s">
        <v>259</v>
      </c>
      <c r="F133" s="4" t="s">
        <v>8</v>
      </c>
    </row>
    <row r="134" spans="1:6">
      <c r="A134" s="16">
        <v>8</v>
      </c>
      <c r="B134" s="4" t="s">
        <v>260</v>
      </c>
      <c r="C134" s="2">
        <v>28507</v>
      </c>
      <c r="D134" s="9">
        <v>104568</v>
      </c>
      <c r="E134" s="4" t="s">
        <v>612</v>
      </c>
      <c r="F134" s="4" t="s">
        <v>8</v>
      </c>
    </row>
    <row r="135" spans="1:6">
      <c r="A135" s="16">
        <v>9</v>
      </c>
      <c r="B135" s="4" t="s">
        <v>261</v>
      </c>
      <c r="C135" s="2">
        <v>28508</v>
      </c>
      <c r="D135" s="9">
        <v>104569</v>
      </c>
      <c r="E135" s="4" t="s">
        <v>613</v>
      </c>
      <c r="F135" s="4" t="s">
        <v>8</v>
      </c>
    </row>
    <row r="136" spans="1:6">
      <c r="A136" s="16">
        <v>10</v>
      </c>
      <c r="B136" s="4" t="s">
        <v>260</v>
      </c>
      <c r="C136" s="2">
        <v>28509</v>
      </c>
      <c r="D136" s="9">
        <v>104570</v>
      </c>
      <c r="E136" s="4" t="s">
        <v>614</v>
      </c>
      <c r="F136" s="4" t="s">
        <v>8</v>
      </c>
    </row>
    <row r="137" spans="1:6">
      <c r="A137" s="16">
        <v>11</v>
      </c>
      <c r="B137" s="4" t="s">
        <v>261</v>
      </c>
      <c r="C137" s="2">
        <v>28510</v>
      </c>
      <c r="D137" s="9">
        <v>104571</v>
      </c>
      <c r="E137" s="4" t="s">
        <v>615</v>
      </c>
      <c r="F137" s="4" t="s">
        <v>8</v>
      </c>
    </row>
    <row r="138" spans="1:6">
      <c r="A138" s="16">
        <v>12</v>
      </c>
      <c r="B138" s="4" t="s">
        <v>261</v>
      </c>
      <c r="C138" s="2">
        <v>28511</v>
      </c>
      <c r="D138" s="9">
        <v>104572</v>
      </c>
      <c r="E138" s="4" t="s">
        <v>616</v>
      </c>
      <c r="F138" s="4" t="s">
        <v>8</v>
      </c>
    </row>
    <row r="139" spans="1:6">
      <c r="A139" s="16">
        <v>13</v>
      </c>
      <c r="B139" s="4" t="s">
        <v>262</v>
      </c>
      <c r="C139" s="2">
        <v>28512</v>
      </c>
      <c r="D139" s="9">
        <v>104573</v>
      </c>
      <c r="E139" s="4" t="s">
        <v>263</v>
      </c>
      <c r="F139" s="4" t="s">
        <v>8</v>
      </c>
    </row>
    <row r="140" spans="1:6">
      <c r="A140" s="16">
        <v>14</v>
      </c>
      <c r="B140" s="4" t="s">
        <v>264</v>
      </c>
      <c r="C140" s="2">
        <f>C139+1</f>
        <v>28513</v>
      </c>
      <c r="D140" s="9">
        <v>104574</v>
      </c>
      <c r="E140" s="4" t="s">
        <v>265</v>
      </c>
      <c r="F140" s="4" t="s">
        <v>8</v>
      </c>
    </row>
    <row r="141" spans="1:6">
      <c r="A141" s="16">
        <v>15</v>
      </c>
      <c r="B141" s="4" t="s">
        <v>266</v>
      </c>
      <c r="C141" s="2">
        <f>C140+1</f>
        <v>28514</v>
      </c>
      <c r="D141" s="9">
        <v>104575</v>
      </c>
      <c r="E141" s="4" t="s">
        <v>267</v>
      </c>
      <c r="F141" s="4" t="s">
        <v>8</v>
      </c>
    </row>
    <row r="142" spans="1:6">
      <c r="A142" s="16">
        <v>16</v>
      </c>
      <c r="B142" s="4" t="s">
        <v>268</v>
      </c>
      <c r="C142" s="2">
        <f>C141+1</f>
        <v>28515</v>
      </c>
      <c r="D142" s="9">
        <v>104576</v>
      </c>
      <c r="E142" s="4" t="s">
        <v>269</v>
      </c>
      <c r="F142" s="4" t="s">
        <v>8</v>
      </c>
    </row>
    <row r="143" spans="1:6">
      <c r="A143" s="16">
        <v>17</v>
      </c>
      <c r="B143" s="4" t="s">
        <v>270</v>
      </c>
      <c r="C143" s="2">
        <v>28600</v>
      </c>
      <c r="D143" s="9">
        <v>104577</v>
      </c>
      <c r="E143" s="4" t="s">
        <v>271</v>
      </c>
      <c r="F143" s="4" t="s">
        <v>8</v>
      </c>
    </row>
    <row r="144" spans="1:6">
      <c r="A144" s="16">
        <v>18</v>
      </c>
      <c r="B144" s="4" t="s">
        <v>272</v>
      </c>
      <c r="C144" s="2">
        <f>C143+1</f>
        <v>28601</v>
      </c>
      <c r="D144" s="9">
        <v>104578</v>
      </c>
      <c r="E144" s="4" t="s">
        <v>273</v>
      </c>
      <c r="F144" s="4" t="s">
        <v>8</v>
      </c>
    </row>
    <row r="145" spans="1:6">
      <c r="A145" s="16">
        <v>19</v>
      </c>
      <c r="B145" s="4" t="s">
        <v>274</v>
      </c>
      <c r="C145" s="2">
        <f>C144+1</f>
        <v>28602</v>
      </c>
      <c r="D145" s="9">
        <v>104579</v>
      </c>
      <c r="E145" s="4" t="s">
        <v>346</v>
      </c>
      <c r="F145" s="4" t="s">
        <v>8</v>
      </c>
    </row>
    <row r="146" spans="1:6">
      <c r="A146" s="16">
        <v>20</v>
      </c>
      <c r="B146" s="4" t="s">
        <v>275</v>
      </c>
      <c r="C146" s="2">
        <f>C145+1</f>
        <v>28603</v>
      </c>
      <c r="D146" s="9">
        <v>104580</v>
      </c>
      <c r="E146" s="4" t="s">
        <v>347</v>
      </c>
      <c r="F146" s="4" t="s">
        <v>8</v>
      </c>
    </row>
    <row r="147" spans="1:6">
      <c r="A147" s="16">
        <v>21</v>
      </c>
      <c r="B147" s="4" t="s">
        <v>276</v>
      </c>
      <c r="C147" s="2">
        <f t="shared" ref="C147:C158" si="2">C146+1</f>
        <v>28604</v>
      </c>
      <c r="D147" s="9">
        <v>104581</v>
      </c>
      <c r="E147" s="4" t="s">
        <v>348</v>
      </c>
      <c r="F147" s="4" t="s">
        <v>8</v>
      </c>
    </row>
    <row r="148" spans="1:6">
      <c r="A148" s="16">
        <v>22</v>
      </c>
      <c r="B148" s="4" t="s">
        <v>277</v>
      </c>
      <c r="C148" s="2">
        <f t="shared" si="2"/>
        <v>28605</v>
      </c>
      <c r="D148" s="9">
        <v>104582</v>
      </c>
      <c r="E148" s="4" t="s">
        <v>278</v>
      </c>
      <c r="F148" s="4" t="s">
        <v>8</v>
      </c>
    </row>
    <row r="149" spans="1:6">
      <c r="A149" s="16">
        <v>23</v>
      </c>
      <c r="B149" s="4" t="s">
        <v>279</v>
      </c>
      <c r="C149" s="2">
        <f t="shared" si="2"/>
        <v>28606</v>
      </c>
      <c r="D149" s="9">
        <v>104583</v>
      </c>
      <c r="E149" s="4" t="s">
        <v>280</v>
      </c>
      <c r="F149" s="4" t="s">
        <v>8</v>
      </c>
    </row>
    <row r="150" spans="1:6">
      <c r="A150" s="16">
        <v>24</v>
      </c>
      <c r="B150" s="4" t="s">
        <v>281</v>
      </c>
      <c r="C150" s="2">
        <f t="shared" si="2"/>
        <v>28607</v>
      </c>
      <c r="D150" s="9">
        <v>104584</v>
      </c>
      <c r="E150" s="4" t="s">
        <v>282</v>
      </c>
      <c r="F150" s="4" t="s">
        <v>8</v>
      </c>
    </row>
    <row r="151" spans="1:6">
      <c r="A151" s="16">
        <v>25</v>
      </c>
      <c r="B151" s="4" t="s">
        <v>283</v>
      </c>
      <c r="C151" s="2">
        <f t="shared" si="2"/>
        <v>28608</v>
      </c>
      <c r="D151" s="9">
        <v>104585</v>
      </c>
      <c r="E151" s="4" t="s">
        <v>284</v>
      </c>
      <c r="F151" s="4" t="s">
        <v>8</v>
      </c>
    </row>
    <row r="152" spans="1:6">
      <c r="A152" s="16">
        <v>26</v>
      </c>
      <c r="B152" s="4" t="s">
        <v>285</v>
      </c>
      <c r="C152" s="2">
        <f t="shared" si="2"/>
        <v>28609</v>
      </c>
      <c r="D152" s="9">
        <v>104586</v>
      </c>
      <c r="E152" s="4" t="s">
        <v>286</v>
      </c>
      <c r="F152" s="4" t="s">
        <v>8</v>
      </c>
    </row>
    <row r="153" spans="1:6">
      <c r="A153" s="16">
        <v>27</v>
      </c>
      <c r="B153" s="4" t="s">
        <v>287</v>
      </c>
      <c r="C153" s="2">
        <f t="shared" si="2"/>
        <v>28610</v>
      </c>
      <c r="D153" s="9">
        <v>104587</v>
      </c>
      <c r="E153" s="4" t="s">
        <v>288</v>
      </c>
      <c r="F153" s="4" t="s">
        <v>8</v>
      </c>
    </row>
    <row r="154" spans="1:6">
      <c r="A154" s="16">
        <v>28</v>
      </c>
      <c r="B154" s="4" t="s">
        <v>289</v>
      </c>
      <c r="C154" s="2">
        <f t="shared" si="2"/>
        <v>28611</v>
      </c>
      <c r="D154" s="9">
        <v>104588</v>
      </c>
      <c r="E154" s="4" t="s">
        <v>349</v>
      </c>
      <c r="F154" s="4" t="s">
        <v>8</v>
      </c>
    </row>
    <row r="155" spans="1:6">
      <c r="A155" s="16">
        <v>29</v>
      </c>
      <c r="B155" s="4" t="s">
        <v>290</v>
      </c>
      <c r="C155" s="2">
        <f t="shared" si="2"/>
        <v>28612</v>
      </c>
      <c r="D155" s="9">
        <v>104589</v>
      </c>
      <c r="E155" s="4" t="s">
        <v>350</v>
      </c>
      <c r="F155" s="4" t="s">
        <v>8</v>
      </c>
    </row>
    <row r="156" spans="1:6">
      <c r="A156" s="16">
        <v>30</v>
      </c>
      <c r="B156" s="4" t="s">
        <v>291</v>
      </c>
      <c r="C156" s="2">
        <f t="shared" si="2"/>
        <v>28613</v>
      </c>
      <c r="D156" s="9">
        <v>104590</v>
      </c>
      <c r="E156" s="4" t="s">
        <v>351</v>
      </c>
      <c r="F156" s="4" t="s">
        <v>8</v>
      </c>
    </row>
    <row r="157" spans="1:6">
      <c r="A157" s="16">
        <v>31</v>
      </c>
      <c r="B157" s="4" t="s">
        <v>292</v>
      </c>
      <c r="C157" s="2">
        <f t="shared" si="2"/>
        <v>28614</v>
      </c>
      <c r="D157" s="9">
        <v>104591</v>
      </c>
      <c r="E157" s="4" t="s">
        <v>293</v>
      </c>
      <c r="F157" s="4" t="s">
        <v>8</v>
      </c>
    </row>
    <row r="158" spans="1:6">
      <c r="A158" s="16">
        <v>32</v>
      </c>
      <c r="B158" s="4" t="s">
        <v>294</v>
      </c>
      <c r="C158" s="2">
        <f t="shared" si="2"/>
        <v>28615</v>
      </c>
      <c r="D158" s="9">
        <v>104592</v>
      </c>
      <c r="E158" s="4" t="s">
        <v>295</v>
      </c>
      <c r="F158" s="4" t="s">
        <v>8</v>
      </c>
    </row>
    <row r="159" spans="1:6">
      <c r="A159" s="16">
        <v>33</v>
      </c>
      <c r="B159" s="14" t="s">
        <v>296</v>
      </c>
      <c r="C159" s="2">
        <v>28700</v>
      </c>
      <c r="D159" s="9">
        <v>104593</v>
      </c>
      <c r="E159" s="4" t="s">
        <v>297</v>
      </c>
      <c r="F159" s="4" t="s">
        <v>8</v>
      </c>
    </row>
    <row r="160" spans="1:6">
      <c r="A160" s="16">
        <v>34</v>
      </c>
      <c r="B160" s="14" t="s">
        <v>298</v>
      </c>
      <c r="C160" s="2">
        <v>28701</v>
      </c>
      <c r="D160" s="9">
        <v>104594</v>
      </c>
      <c r="E160" s="4" t="s">
        <v>299</v>
      </c>
      <c r="F160" s="4" t="s">
        <v>8</v>
      </c>
    </row>
    <row r="161" spans="1:6">
      <c r="A161" s="16">
        <v>35</v>
      </c>
      <c r="B161" s="14" t="s">
        <v>300</v>
      </c>
      <c r="C161" s="2">
        <v>28702</v>
      </c>
      <c r="D161" s="9">
        <v>104595</v>
      </c>
      <c r="E161" s="4" t="s">
        <v>301</v>
      </c>
      <c r="F161" s="4" t="s">
        <v>8</v>
      </c>
    </row>
    <row r="162" spans="1:6">
      <c r="A162" s="16">
        <v>36</v>
      </c>
      <c r="B162" s="14" t="s">
        <v>302</v>
      </c>
      <c r="C162" s="2">
        <v>28703</v>
      </c>
      <c r="D162" s="9">
        <v>104596</v>
      </c>
      <c r="E162" s="4" t="s">
        <v>303</v>
      </c>
      <c r="F162" s="4" t="s">
        <v>8</v>
      </c>
    </row>
    <row r="163" spans="1:6">
      <c r="A163" s="16">
        <v>37</v>
      </c>
      <c r="B163" s="14" t="s">
        <v>304</v>
      </c>
      <c r="C163" s="2">
        <v>28704</v>
      </c>
      <c r="D163" s="9">
        <v>104597</v>
      </c>
      <c r="E163" s="4" t="s">
        <v>305</v>
      </c>
      <c r="F163" s="4" t="s">
        <v>8</v>
      </c>
    </row>
    <row r="164" spans="1:6">
      <c r="A164" s="16">
        <v>38</v>
      </c>
      <c r="B164" s="14" t="s">
        <v>306</v>
      </c>
      <c r="C164" s="2">
        <v>28705</v>
      </c>
      <c r="D164" s="9">
        <v>104598</v>
      </c>
      <c r="E164" s="4" t="s">
        <v>307</v>
      </c>
      <c r="F164" s="4" t="s">
        <v>8</v>
      </c>
    </row>
    <row r="165" spans="1:6">
      <c r="A165" s="16">
        <v>39</v>
      </c>
      <c r="B165" s="14" t="s">
        <v>308</v>
      </c>
      <c r="C165" s="2">
        <v>28706</v>
      </c>
      <c r="D165" s="9">
        <v>104599</v>
      </c>
      <c r="E165" s="4" t="s">
        <v>309</v>
      </c>
      <c r="F165" s="4" t="s">
        <v>8</v>
      </c>
    </row>
    <row r="166" spans="1:6">
      <c r="A166" s="16">
        <v>40</v>
      </c>
      <c r="B166" s="14" t="s">
        <v>310</v>
      </c>
      <c r="C166" s="2">
        <v>28707</v>
      </c>
      <c r="D166" s="9">
        <v>104600</v>
      </c>
      <c r="E166" s="4" t="s">
        <v>311</v>
      </c>
      <c r="F166" s="4" t="s">
        <v>8</v>
      </c>
    </row>
    <row r="167" spans="1:6">
      <c r="A167" s="16">
        <v>41</v>
      </c>
      <c r="B167" s="14" t="s">
        <v>312</v>
      </c>
      <c r="C167" s="2">
        <v>28708</v>
      </c>
      <c r="D167" s="9">
        <v>104601</v>
      </c>
      <c r="E167" s="4" t="s">
        <v>313</v>
      </c>
      <c r="F167" s="4" t="s">
        <v>8</v>
      </c>
    </row>
    <row r="168" spans="1:6">
      <c r="A168" s="16">
        <v>42</v>
      </c>
      <c r="B168" s="14" t="s">
        <v>314</v>
      </c>
      <c r="C168" s="2">
        <v>28709</v>
      </c>
      <c r="D168" s="9">
        <v>104602</v>
      </c>
      <c r="E168" s="4" t="s">
        <v>597</v>
      </c>
      <c r="F168" s="4" t="s">
        <v>8</v>
      </c>
    </row>
    <row r="169" spans="1:6">
      <c r="A169" s="16">
        <v>43</v>
      </c>
      <c r="B169" s="14" t="s">
        <v>315</v>
      </c>
      <c r="C169" s="2">
        <v>28710</v>
      </c>
      <c r="D169" s="9">
        <v>104603</v>
      </c>
      <c r="E169" s="4" t="s">
        <v>598</v>
      </c>
      <c r="F169" s="4" t="s">
        <v>8</v>
      </c>
    </row>
    <row r="170" spans="1:6">
      <c r="A170" s="16">
        <v>44</v>
      </c>
      <c r="B170" s="14" t="s">
        <v>316</v>
      </c>
      <c r="C170" s="2">
        <v>28711</v>
      </c>
      <c r="D170" s="9">
        <v>104604</v>
      </c>
      <c r="E170" s="4" t="s">
        <v>599</v>
      </c>
      <c r="F170" s="4" t="s">
        <v>8</v>
      </c>
    </row>
    <row r="171" spans="1:6">
      <c r="A171" s="16">
        <v>45</v>
      </c>
      <c r="B171" s="14" t="s">
        <v>317</v>
      </c>
      <c r="C171" s="2">
        <v>28712</v>
      </c>
      <c r="D171" s="9">
        <v>104605</v>
      </c>
      <c r="E171" s="4" t="s">
        <v>600</v>
      </c>
      <c r="F171" s="4" t="s">
        <v>8</v>
      </c>
    </row>
    <row r="172" spans="1:6">
      <c r="A172" s="16">
        <v>46</v>
      </c>
      <c r="B172" s="14" t="s">
        <v>318</v>
      </c>
      <c r="C172" s="2">
        <v>28713</v>
      </c>
      <c r="D172" s="9">
        <v>104606</v>
      </c>
      <c r="E172" s="4" t="s">
        <v>601</v>
      </c>
      <c r="F172" s="4" t="s">
        <v>8</v>
      </c>
    </row>
    <row r="173" spans="1:6">
      <c r="A173" s="16">
        <v>47</v>
      </c>
      <c r="B173" s="14" t="s">
        <v>319</v>
      </c>
      <c r="C173" s="2">
        <v>28714</v>
      </c>
      <c r="D173" s="9">
        <v>104607</v>
      </c>
      <c r="E173" s="4" t="s">
        <v>602</v>
      </c>
      <c r="F173" s="4" t="s">
        <v>8</v>
      </c>
    </row>
    <row r="174" spans="1:6">
      <c r="A174" s="16">
        <v>48</v>
      </c>
      <c r="B174" s="14" t="s">
        <v>320</v>
      </c>
      <c r="C174" s="2">
        <v>28715</v>
      </c>
      <c r="D174" s="9">
        <v>104608</v>
      </c>
      <c r="E174" s="4" t="s">
        <v>603</v>
      </c>
      <c r="F174" s="4" t="s">
        <v>8</v>
      </c>
    </row>
    <row r="175" spans="1:6">
      <c r="A175" s="16">
        <v>49</v>
      </c>
      <c r="B175" s="14" t="s">
        <v>321</v>
      </c>
      <c r="C175" s="2">
        <v>28800</v>
      </c>
      <c r="D175" s="9">
        <v>104609</v>
      </c>
      <c r="E175" s="4" t="s">
        <v>604</v>
      </c>
      <c r="F175" s="4" t="s">
        <v>8</v>
      </c>
    </row>
    <row r="176" spans="1:6">
      <c r="A176" s="16">
        <v>50</v>
      </c>
      <c r="B176" s="14" t="s">
        <v>322</v>
      </c>
      <c r="C176" s="2">
        <v>28801</v>
      </c>
      <c r="D176" s="9">
        <v>104610</v>
      </c>
      <c r="E176" s="4" t="s">
        <v>605</v>
      </c>
      <c r="F176" s="4" t="s">
        <v>8</v>
      </c>
    </row>
    <row r="177" spans="1:6">
      <c r="A177" s="16">
        <v>51</v>
      </c>
      <c r="B177" s="14" t="s">
        <v>323</v>
      </c>
      <c r="C177" s="2">
        <v>28802</v>
      </c>
      <c r="D177" s="9">
        <v>104611</v>
      </c>
      <c r="E177" s="4" t="s">
        <v>606</v>
      </c>
      <c r="F177" s="4" t="s">
        <v>8</v>
      </c>
    </row>
    <row r="178" spans="1:6">
      <c r="A178" s="16">
        <v>52</v>
      </c>
      <c r="B178" s="14" t="s">
        <v>324</v>
      </c>
      <c r="C178" s="2">
        <v>28803</v>
      </c>
      <c r="D178" s="9">
        <v>104612</v>
      </c>
      <c r="E178" s="4" t="s">
        <v>607</v>
      </c>
      <c r="F178" s="4" t="s">
        <v>8</v>
      </c>
    </row>
    <row r="179" spans="1:6">
      <c r="A179" s="16">
        <v>53</v>
      </c>
      <c r="B179" s="14" t="s">
        <v>325</v>
      </c>
      <c r="C179" s="2">
        <v>28804</v>
      </c>
      <c r="D179" s="9">
        <v>104613</v>
      </c>
      <c r="E179" s="4" t="s">
        <v>608</v>
      </c>
      <c r="F179" s="4" t="s">
        <v>8</v>
      </c>
    </row>
    <row r="180" spans="1:6">
      <c r="A180" s="16">
        <v>54</v>
      </c>
      <c r="B180" s="14" t="s">
        <v>326</v>
      </c>
      <c r="C180" s="2">
        <v>28805</v>
      </c>
      <c r="D180" s="9">
        <v>104614</v>
      </c>
      <c r="E180" s="4" t="s">
        <v>609</v>
      </c>
      <c r="F180" s="4" t="s">
        <v>8</v>
      </c>
    </row>
    <row r="181" spans="1:6">
      <c r="A181" s="16">
        <v>55</v>
      </c>
      <c r="B181" s="14" t="s">
        <v>327</v>
      </c>
      <c r="C181" s="2">
        <v>28806</v>
      </c>
      <c r="D181" s="9">
        <v>104615</v>
      </c>
      <c r="E181" s="4" t="s">
        <v>610</v>
      </c>
      <c r="F181" s="4" t="s">
        <v>8</v>
      </c>
    </row>
    <row r="182" spans="1:6">
      <c r="A182" s="16">
        <v>56</v>
      </c>
      <c r="B182" s="14" t="s">
        <v>328</v>
      </c>
      <c r="C182" s="2">
        <v>28807</v>
      </c>
      <c r="D182" s="9">
        <v>104616</v>
      </c>
      <c r="E182" s="4" t="s">
        <v>611</v>
      </c>
      <c r="F182" s="4" t="s">
        <v>8</v>
      </c>
    </row>
    <row r="183" spans="1:6">
      <c r="A183" s="16">
        <v>57</v>
      </c>
      <c r="B183" s="4" t="s">
        <v>329</v>
      </c>
      <c r="C183" s="2">
        <v>28808</v>
      </c>
      <c r="D183" s="9">
        <v>104617</v>
      </c>
      <c r="E183" s="4" t="s">
        <v>330</v>
      </c>
      <c r="F183" s="4" t="s">
        <v>8</v>
      </c>
    </row>
    <row r="184" spans="1:6">
      <c r="A184" s="16">
        <v>58</v>
      </c>
      <c r="B184" s="4" t="s">
        <v>331</v>
      </c>
      <c r="C184" s="2">
        <v>28809</v>
      </c>
      <c r="D184" s="9">
        <v>104618</v>
      </c>
      <c r="E184" s="4" t="s">
        <v>332</v>
      </c>
      <c r="F184" s="4" t="s">
        <v>8</v>
      </c>
    </row>
    <row r="185" spans="1:6">
      <c r="A185" s="16">
        <v>59</v>
      </c>
      <c r="B185" s="4" t="s">
        <v>333</v>
      </c>
      <c r="C185" s="2">
        <v>28810</v>
      </c>
      <c r="D185" s="9">
        <v>104619</v>
      </c>
      <c r="E185" s="4" t="s">
        <v>354</v>
      </c>
      <c r="F185" s="4" t="s">
        <v>8</v>
      </c>
    </row>
    <row r="186" spans="1:6">
      <c r="A186" s="16">
        <v>60</v>
      </c>
      <c r="B186" s="4" t="s">
        <v>334</v>
      </c>
      <c r="C186" s="2">
        <v>28811</v>
      </c>
      <c r="D186" s="9">
        <v>104620</v>
      </c>
      <c r="E186" s="4" t="s">
        <v>335</v>
      </c>
      <c r="F186" s="4" t="s">
        <v>8</v>
      </c>
    </row>
    <row r="187" spans="1:6">
      <c r="A187" s="16">
        <v>61</v>
      </c>
      <c r="B187" s="4" t="s">
        <v>336</v>
      </c>
      <c r="C187" s="2">
        <v>28812</v>
      </c>
      <c r="D187" s="9">
        <v>104621</v>
      </c>
      <c r="E187" s="4" t="s">
        <v>337</v>
      </c>
      <c r="F187" s="4" t="s">
        <v>8</v>
      </c>
    </row>
    <row r="188" spans="1:6">
      <c r="A188" s="16">
        <v>62</v>
      </c>
      <c r="B188" s="4" t="s">
        <v>338</v>
      </c>
      <c r="C188" s="2">
        <v>28813</v>
      </c>
      <c r="D188" s="9">
        <v>104622</v>
      </c>
      <c r="E188" s="4" t="s">
        <v>355</v>
      </c>
      <c r="F188" s="4" t="s">
        <v>8</v>
      </c>
    </row>
    <row r="189" spans="1:6">
      <c r="A189" s="16">
        <v>63</v>
      </c>
      <c r="B189" s="4" t="s">
        <v>339</v>
      </c>
      <c r="C189" s="2">
        <v>28814</v>
      </c>
      <c r="D189" s="9">
        <v>104623</v>
      </c>
      <c r="E189" s="4" t="s">
        <v>340</v>
      </c>
      <c r="F189" s="4" t="s">
        <v>8</v>
      </c>
    </row>
    <row r="190" spans="1:6">
      <c r="A190" s="16">
        <v>64</v>
      </c>
      <c r="B190" s="4" t="s">
        <v>341</v>
      </c>
      <c r="C190" s="2">
        <v>28815</v>
      </c>
      <c r="D190" s="9">
        <v>104624</v>
      </c>
      <c r="E190" s="4" t="s">
        <v>342</v>
      </c>
      <c r="F190" s="4" t="s">
        <v>8</v>
      </c>
    </row>
    <row r="191" spans="1:6">
      <c r="A191" s="17">
        <v>65</v>
      </c>
      <c r="B191" s="4" t="s">
        <v>343</v>
      </c>
      <c r="C191" s="2">
        <v>28900</v>
      </c>
      <c r="D191" s="9">
        <v>104625</v>
      </c>
      <c r="E191" s="4" t="s">
        <v>344</v>
      </c>
      <c r="F191" s="4" t="s">
        <v>8</v>
      </c>
    </row>
  </sheetData>
  <mergeCells count="9">
    <mergeCell ref="B67:F67"/>
    <mergeCell ref="B88:F88"/>
    <mergeCell ref="B107:F107"/>
    <mergeCell ref="B126:F126"/>
    <mergeCell ref="A2:A3"/>
    <mergeCell ref="B2:F2"/>
    <mergeCell ref="B25:F25"/>
    <mergeCell ref="B4:F4"/>
    <mergeCell ref="B46:F46"/>
  </mergeCells>
  <pageMargins left="0.25" right="0.25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>
  <sheetPr codeName="Sheet4"/>
  <dimension ref="B2:O43"/>
  <sheetViews>
    <sheetView topLeftCell="C4" workbookViewId="0">
      <selection activeCell="O11" sqref="O11"/>
    </sheetView>
  </sheetViews>
  <sheetFormatPr defaultRowHeight="15"/>
  <cols>
    <col min="1" max="1" width="9.140625" style="39" customWidth="1"/>
    <col min="2" max="2" width="16.42578125" style="39" customWidth="1"/>
    <col min="3" max="3" width="38.7109375" style="39" customWidth="1"/>
    <col min="4" max="4" width="10.5703125" style="39" customWidth="1"/>
    <col min="5" max="5" width="10.140625" style="39" customWidth="1"/>
    <col min="6" max="7" width="9.140625" style="39"/>
    <col min="8" max="8" width="40.85546875" style="39" customWidth="1"/>
    <col min="9" max="9" width="16.28515625" style="39" customWidth="1"/>
    <col min="10" max="10" width="5.85546875" style="42" customWidth="1"/>
    <col min="11" max="11" width="5.85546875" style="39" customWidth="1"/>
    <col min="12" max="16384" width="9.140625" style="39"/>
  </cols>
  <sheetData>
    <row r="2" spans="2:15">
      <c r="B2" s="18" t="s">
        <v>516</v>
      </c>
    </row>
    <row r="3" spans="2:15">
      <c r="B3" s="39" t="s">
        <v>517</v>
      </c>
    </row>
    <row r="4" spans="2:15">
      <c r="B4" s="39" t="s">
        <v>518</v>
      </c>
    </row>
    <row r="5" spans="2:15">
      <c r="B5" s="39" t="s">
        <v>519</v>
      </c>
    </row>
    <row r="6" spans="2:15">
      <c r="B6" s="39" t="s">
        <v>520</v>
      </c>
    </row>
    <row r="7" spans="2:15">
      <c r="B7" s="39" t="s">
        <v>521</v>
      </c>
    </row>
    <row r="9" spans="2:15">
      <c r="B9" s="18" t="s">
        <v>522</v>
      </c>
      <c r="D9" s="47" t="s">
        <v>542</v>
      </c>
      <c r="E9" s="47" t="s">
        <v>533</v>
      </c>
      <c r="F9" s="47" t="s">
        <v>532</v>
      </c>
      <c r="H9" s="58" t="s">
        <v>617</v>
      </c>
      <c r="I9" s="58" t="s">
        <v>618</v>
      </c>
      <c r="J9" s="80" t="s">
        <v>573</v>
      </c>
      <c r="K9" s="58" t="s">
        <v>408</v>
      </c>
      <c r="L9" s="58" t="s">
        <v>574</v>
      </c>
      <c r="M9" s="58" t="s">
        <v>575</v>
      </c>
    </row>
    <row r="10" spans="2:15">
      <c r="B10" s="18" t="s">
        <v>524</v>
      </c>
      <c r="H10" s="55"/>
      <c r="I10" s="56"/>
      <c r="J10" s="52"/>
      <c r="K10" s="56"/>
      <c r="L10" s="56"/>
      <c r="M10" s="57"/>
    </row>
    <row r="11" spans="2:15">
      <c r="C11" s="45" t="s">
        <v>525</v>
      </c>
      <c r="D11" s="48">
        <v>100</v>
      </c>
      <c r="E11" s="13" t="s">
        <v>543</v>
      </c>
      <c r="F11" s="48">
        <v>1</v>
      </c>
      <c r="H11" s="59" t="s">
        <v>629</v>
      </c>
      <c r="I11" s="85" t="s">
        <v>627</v>
      </c>
      <c r="J11" s="13" t="s">
        <v>623</v>
      </c>
      <c r="K11" s="65" t="s">
        <v>620</v>
      </c>
      <c r="L11" s="43"/>
      <c r="M11" s="43"/>
      <c r="O11" s="39">
        <v>1</v>
      </c>
    </row>
    <row r="12" spans="2:15">
      <c r="C12" s="45" t="s">
        <v>526</v>
      </c>
      <c r="D12" s="48">
        <v>300</v>
      </c>
      <c r="E12" s="13" t="s">
        <v>544</v>
      </c>
      <c r="F12" s="48">
        <v>3</v>
      </c>
      <c r="H12" s="59" t="s">
        <v>632</v>
      </c>
      <c r="I12" s="85" t="s">
        <v>628</v>
      </c>
      <c r="J12" s="13" t="s">
        <v>623</v>
      </c>
      <c r="K12" s="12" t="s">
        <v>620</v>
      </c>
      <c r="L12" s="43"/>
      <c r="M12" s="43"/>
      <c r="O12" s="39">
        <v>0</v>
      </c>
    </row>
    <row r="13" spans="2:15">
      <c r="C13" s="45" t="s">
        <v>527</v>
      </c>
      <c r="D13" s="48">
        <v>400</v>
      </c>
      <c r="E13" s="13" t="s">
        <v>545</v>
      </c>
      <c r="F13" s="48">
        <v>4</v>
      </c>
      <c r="H13" s="55"/>
      <c r="I13" s="56"/>
      <c r="J13" s="52"/>
      <c r="K13" s="56"/>
      <c r="L13" s="56"/>
      <c r="M13" s="57"/>
    </row>
    <row r="14" spans="2:15">
      <c r="C14" s="45" t="s">
        <v>528</v>
      </c>
      <c r="D14" s="48">
        <v>200</v>
      </c>
      <c r="E14" s="13" t="s">
        <v>546</v>
      </c>
      <c r="F14" s="48">
        <v>2</v>
      </c>
      <c r="H14" s="55"/>
      <c r="I14" s="56"/>
      <c r="J14" s="52"/>
      <c r="K14" s="56"/>
      <c r="L14" s="56"/>
      <c r="M14" s="57"/>
    </row>
    <row r="15" spans="2:15">
      <c r="B15" s="18" t="s">
        <v>523</v>
      </c>
      <c r="D15" s="42"/>
      <c r="E15" s="42"/>
      <c r="F15" s="42"/>
      <c r="H15" s="55"/>
      <c r="I15" s="56"/>
      <c r="J15" s="52"/>
      <c r="K15" s="56"/>
      <c r="L15" s="56"/>
      <c r="M15" s="57"/>
    </row>
    <row r="16" spans="2:15">
      <c r="C16" s="45"/>
      <c r="D16" s="42"/>
      <c r="E16" s="42"/>
      <c r="F16" s="42"/>
      <c r="H16" s="55"/>
      <c r="I16" s="56"/>
      <c r="J16" s="52"/>
      <c r="K16" s="56"/>
      <c r="L16" s="56"/>
      <c r="M16" s="57"/>
    </row>
    <row r="17" spans="3:15">
      <c r="C17" s="45" t="s">
        <v>534</v>
      </c>
      <c r="D17" s="48">
        <v>700</v>
      </c>
      <c r="E17" s="48">
        <v>701</v>
      </c>
      <c r="F17" s="48">
        <v>7</v>
      </c>
      <c r="H17" s="59" t="s">
        <v>631</v>
      </c>
      <c r="I17" s="85" t="s">
        <v>626</v>
      </c>
      <c r="J17" s="81" t="s">
        <v>623</v>
      </c>
      <c r="K17" s="59" t="s">
        <v>620</v>
      </c>
      <c r="L17" s="43">
        <v>14.5</v>
      </c>
      <c r="M17" s="43"/>
      <c r="O17" s="39">
        <v>1</v>
      </c>
    </row>
    <row r="18" spans="3:15">
      <c r="C18" s="45" t="s">
        <v>535</v>
      </c>
      <c r="D18" s="48">
        <v>700</v>
      </c>
      <c r="E18" s="13" t="s">
        <v>555</v>
      </c>
      <c r="F18" s="48">
        <v>7</v>
      </c>
      <c r="H18" s="60" t="s">
        <v>634</v>
      </c>
      <c r="I18" s="60"/>
      <c r="J18" s="82" t="s">
        <v>623</v>
      </c>
      <c r="K18" s="60" t="s">
        <v>619</v>
      </c>
      <c r="L18" s="43">
        <v>395.5</v>
      </c>
      <c r="M18" s="43"/>
      <c r="O18" s="39">
        <v>1</v>
      </c>
    </row>
    <row r="19" spans="3:15">
      <c r="C19" s="45" t="s">
        <v>536</v>
      </c>
      <c r="D19" s="48">
        <v>700</v>
      </c>
      <c r="E19" s="13" t="s">
        <v>556</v>
      </c>
      <c r="F19" s="48">
        <v>7</v>
      </c>
      <c r="H19" s="55"/>
      <c r="I19" s="56"/>
      <c r="J19" s="52"/>
      <c r="K19" s="56"/>
      <c r="L19" s="56"/>
      <c r="M19" s="57"/>
    </row>
    <row r="20" spans="3:15">
      <c r="C20" s="45" t="s">
        <v>537</v>
      </c>
      <c r="D20" s="48">
        <v>700</v>
      </c>
      <c r="E20" s="13" t="s">
        <v>557</v>
      </c>
      <c r="F20" s="48">
        <v>7</v>
      </c>
      <c r="H20" s="55"/>
      <c r="I20" s="56"/>
      <c r="J20" s="52"/>
      <c r="K20" s="56"/>
      <c r="L20" s="56"/>
      <c r="M20" s="57"/>
    </row>
    <row r="21" spans="3:15">
      <c r="C21" s="45" t="s">
        <v>538</v>
      </c>
      <c r="D21" s="48">
        <v>700</v>
      </c>
      <c r="E21" s="48">
        <v>709</v>
      </c>
      <c r="F21" s="48">
        <v>7</v>
      </c>
      <c r="H21" s="55"/>
      <c r="I21" s="56"/>
      <c r="J21" s="52"/>
      <c r="K21" s="56"/>
      <c r="L21" s="56"/>
      <c r="M21" s="57"/>
    </row>
    <row r="22" spans="3:15">
      <c r="C22" s="45" t="s">
        <v>539</v>
      </c>
      <c r="D22" s="48">
        <v>700</v>
      </c>
      <c r="E22" s="48" t="s">
        <v>558</v>
      </c>
      <c r="F22" s="48">
        <v>7</v>
      </c>
      <c r="H22" s="55"/>
      <c r="I22" s="56"/>
      <c r="J22" s="52"/>
      <c r="K22" s="56"/>
      <c r="L22" s="56"/>
      <c r="M22" s="57"/>
    </row>
    <row r="23" spans="3:15">
      <c r="C23" s="45" t="s">
        <v>559</v>
      </c>
      <c r="D23" s="48">
        <v>700</v>
      </c>
      <c r="E23" s="48" t="s">
        <v>560</v>
      </c>
      <c r="F23" s="48">
        <v>7</v>
      </c>
      <c r="H23" s="55"/>
      <c r="I23" s="56"/>
      <c r="J23" s="52"/>
      <c r="K23" s="56"/>
      <c r="L23" s="56"/>
      <c r="M23" s="57"/>
    </row>
    <row r="24" spans="3:15">
      <c r="C24" s="45"/>
      <c r="D24" s="52"/>
      <c r="E24" s="52"/>
      <c r="F24" s="52"/>
      <c r="H24" s="55"/>
      <c r="I24" s="56"/>
      <c r="J24" s="52"/>
      <c r="K24" s="56"/>
      <c r="L24" s="56"/>
      <c r="M24" s="57"/>
    </row>
    <row r="25" spans="3:15">
      <c r="C25" s="46" t="s">
        <v>540</v>
      </c>
      <c r="D25" s="48">
        <v>500</v>
      </c>
      <c r="E25" s="48" t="s">
        <v>561</v>
      </c>
      <c r="F25" s="48">
        <v>5</v>
      </c>
      <c r="H25" s="84" t="s">
        <v>621</v>
      </c>
      <c r="I25" s="61"/>
      <c r="J25" s="83" t="s">
        <v>623</v>
      </c>
      <c r="K25" s="61" t="s">
        <v>619</v>
      </c>
      <c r="L25" s="43">
        <v>112</v>
      </c>
      <c r="M25" s="43">
        <v>101</v>
      </c>
      <c r="O25" s="39">
        <v>0</v>
      </c>
    </row>
    <row r="26" spans="3:15">
      <c r="C26" s="46" t="s">
        <v>541</v>
      </c>
      <c r="D26" s="48">
        <v>500</v>
      </c>
      <c r="E26" s="48" t="s">
        <v>562</v>
      </c>
      <c r="F26" s="48">
        <v>5</v>
      </c>
      <c r="H26" s="55"/>
      <c r="I26" s="56"/>
      <c r="J26" s="52"/>
      <c r="K26" s="56"/>
      <c r="L26" s="56"/>
      <c r="M26" s="57"/>
    </row>
    <row r="27" spans="3:15">
      <c r="C27" s="46"/>
      <c r="D27" s="42"/>
      <c r="E27" s="42"/>
      <c r="F27" s="42"/>
      <c r="H27" s="55"/>
      <c r="I27" s="56"/>
      <c r="J27" s="52"/>
      <c r="K27" s="56"/>
      <c r="L27" s="56"/>
      <c r="M27" s="57"/>
    </row>
    <row r="28" spans="3:15">
      <c r="C28" s="45"/>
      <c r="D28" s="42"/>
      <c r="E28" s="42"/>
      <c r="F28" s="42"/>
      <c r="H28" s="55"/>
      <c r="I28" s="56"/>
      <c r="J28" s="52"/>
      <c r="K28" s="56"/>
      <c r="L28" s="56"/>
      <c r="M28" s="57"/>
    </row>
    <row r="29" spans="3:15">
      <c r="C29" s="45" t="s">
        <v>547</v>
      </c>
      <c r="D29" s="48">
        <v>800</v>
      </c>
      <c r="E29" s="48">
        <v>801</v>
      </c>
      <c r="F29" s="48">
        <v>8</v>
      </c>
      <c r="H29" s="59" t="s">
        <v>630</v>
      </c>
      <c r="I29" s="59"/>
      <c r="J29" s="81" t="s">
        <v>623</v>
      </c>
      <c r="K29" s="59" t="s">
        <v>620</v>
      </c>
      <c r="L29" s="43">
        <v>18.5</v>
      </c>
      <c r="M29" s="43"/>
      <c r="O29" s="39">
        <v>0</v>
      </c>
    </row>
    <row r="30" spans="3:15">
      <c r="C30" s="45" t="s">
        <v>548</v>
      </c>
      <c r="D30" s="48">
        <v>800</v>
      </c>
      <c r="E30" s="13" t="s">
        <v>563</v>
      </c>
      <c r="F30" s="48">
        <v>8</v>
      </c>
      <c r="H30" s="60" t="s">
        <v>633</v>
      </c>
      <c r="I30" s="60"/>
      <c r="J30" s="82" t="s">
        <v>623</v>
      </c>
      <c r="K30" s="60" t="s">
        <v>619</v>
      </c>
      <c r="L30" s="43">
        <v>468.7</v>
      </c>
      <c r="M30" s="43"/>
    </row>
    <row r="31" spans="3:15">
      <c r="C31" s="45" t="s">
        <v>549</v>
      </c>
      <c r="D31" s="48">
        <v>800</v>
      </c>
      <c r="E31" s="13" t="s">
        <v>564</v>
      </c>
      <c r="F31" s="48">
        <v>8</v>
      </c>
      <c r="H31" s="55"/>
      <c r="I31" s="56"/>
      <c r="J31" s="52"/>
      <c r="K31" s="56"/>
      <c r="L31" s="56"/>
      <c r="M31" s="57"/>
    </row>
    <row r="32" spans="3:15">
      <c r="C32" s="45" t="s">
        <v>550</v>
      </c>
      <c r="D32" s="48">
        <v>800</v>
      </c>
      <c r="E32" s="13" t="s">
        <v>565</v>
      </c>
      <c r="F32" s="48">
        <v>8</v>
      </c>
      <c r="H32" s="55"/>
      <c r="I32" s="56"/>
      <c r="J32" s="52"/>
      <c r="K32" s="56"/>
      <c r="L32" s="56"/>
      <c r="M32" s="57"/>
    </row>
    <row r="33" spans="2:15">
      <c r="C33" s="45" t="s">
        <v>551</v>
      </c>
      <c r="D33" s="48">
        <v>800</v>
      </c>
      <c r="E33" s="48">
        <v>809</v>
      </c>
      <c r="F33" s="48">
        <v>8</v>
      </c>
      <c r="H33" s="55"/>
      <c r="I33" s="56"/>
      <c r="J33" s="52"/>
      <c r="K33" s="56"/>
      <c r="L33" s="56"/>
      <c r="M33" s="57"/>
    </row>
    <row r="34" spans="2:15">
      <c r="C34" s="45" t="s">
        <v>552</v>
      </c>
      <c r="D34" s="48">
        <v>800</v>
      </c>
      <c r="E34" s="48" t="s">
        <v>566</v>
      </c>
      <c r="F34" s="48">
        <v>8</v>
      </c>
      <c r="H34" s="55"/>
      <c r="I34" s="56"/>
      <c r="J34" s="52"/>
      <c r="K34" s="56"/>
      <c r="L34" s="56"/>
      <c r="M34" s="57"/>
    </row>
    <row r="35" spans="2:15">
      <c r="C35" s="45" t="s">
        <v>568</v>
      </c>
      <c r="D35" s="48">
        <v>800</v>
      </c>
      <c r="E35" s="13" t="s">
        <v>567</v>
      </c>
      <c r="F35" s="48">
        <v>8</v>
      </c>
      <c r="H35" s="55"/>
      <c r="I35" s="56"/>
      <c r="J35" s="52"/>
      <c r="K35" s="56"/>
      <c r="L35" s="56"/>
      <c r="M35" s="57"/>
    </row>
    <row r="36" spans="2:15">
      <c r="C36" s="45"/>
      <c r="D36" s="52"/>
      <c r="E36" s="53"/>
      <c r="F36" s="52"/>
      <c r="H36" s="55"/>
      <c r="I36" s="56"/>
      <c r="J36" s="52"/>
      <c r="K36" s="56"/>
      <c r="L36" s="56"/>
      <c r="M36" s="57"/>
    </row>
    <row r="37" spans="2:15">
      <c r="C37" s="46" t="s">
        <v>553</v>
      </c>
      <c r="D37" s="48">
        <v>600</v>
      </c>
      <c r="E37" s="13" t="s">
        <v>569</v>
      </c>
      <c r="F37" s="48">
        <v>6</v>
      </c>
      <c r="H37" s="84" t="s">
        <v>622</v>
      </c>
      <c r="I37" s="61"/>
      <c r="J37" s="83" t="s">
        <v>623</v>
      </c>
      <c r="K37" s="61" t="s">
        <v>619</v>
      </c>
      <c r="L37" s="43">
        <v>120</v>
      </c>
      <c r="M37" s="43">
        <v>112</v>
      </c>
      <c r="O37" s="39">
        <v>1</v>
      </c>
    </row>
    <row r="38" spans="2:15">
      <c r="C38" s="46" t="s">
        <v>554</v>
      </c>
      <c r="D38" s="48">
        <v>600</v>
      </c>
      <c r="E38" s="13" t="s">
        <v>570</v>
      </c>
      <c r="F38" s="48">
        <v>6</v>
      </c>
      <c r="H38" s="55"/>
      <c r="I38" s="56"/>
      <c r="J38" s="52"/>
      <c r="K38" s="56"/>
      <c r="L38" s="56"/>
      <c r="M38" s="57"/>
    </row>
    <row r="39" spans="2:15">
      <c r="C39" s="46"/>
      <c r="D39" s="42"/>
      <c r="E39" s="42"/>
      <c r="F39" s="42"/>
      <c r="H39" s="55"/>
      <c r="I39" s="56"/>
      <c r="J39" s="52"/>
      <c r="K39" s="56"/>
      <c r="L39" s="56"/>
      <c r="M39" s="57"/>
    </row>
    <row r="40" spans="2:15">
      <c r="B40" s="18" t="s">
        <v>529</v>
      </c>
      <c r="D40" s="42"/>
      <c r="E40" s="42"/>
      <c r="F40" s="42"/>
      <c r="H40" s="55"/>
      <c r="I40" s="56"/>
      <c r="J40" s="52"/>
      <c r="K40" s="56"/>
      <c r="L40" s="56"/>
      <c r="M40" s="57"/>
    </row>
    <row r="41" spans="2:15">
      <c r="C41" s="45" t="s">
        <v>571</v>
      </c>
      <c r="D41" s="48">
        <v>900</v>
      </c>
      <c r="E41" s="48">
        <v>901</v>
      </c>
      <c r="F41" s="48">
        <v>9</v>
      </c>
      <c r="H41" s="12" t="s">
        <v>624</v>
      </c>
      <c r="I41" s="12"/>
      <c r="J41" s="13" t="s">
        <v>623</v>
      </c>
      <c r="K41" s="12" t="s">
        <v>619</v>
      </c>
      <c r="L41" s="43"/>
      <c r="M41" s="43"/>
      <c r="O41" s="39">
        <v>1</v>
      </c>
    </row>
    <row r="42" spans="2:15">
      <c r="C42" s="45"/>
      <c r="D42" s="54"/>
      <c r="E42" s="54"/>
      <c r="F42" s="54"/>
      <c r="H42" s="22"/>
      <c r="I42" s="23"/>
      <c r="J42" s="53"/>
      <c r="K42" s="23"/>
      <c r="L42" s="56"/>
      <c r="M42" s="57"/>
    </row>
    <row r="43" spans="2:15">
      <c r="C43" s="45" t="s">
        <v>572</v>
      </c>
      <c r="D43" s="48">
        <v>900</v>
      </c>
      <c r="E43" s="48">
        <v>902</v>
      </c>
      <c r="F43" s="48">
        <v>9</v>
      </c>
      <c r="H43" s="12" t="s">
        <v>625</v>
      </c>
      <c r="I43" s="12"/>
      <c r="J43" s="13" t="s">
        <v>623</v>
      </c>
      <c r="K43" s="12" t="s">
        <v>619</v>
      </c>
      <c r="L43" s="43"/>
      <c r="M43" s="43"/>
      <c r="O43" s="39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 codeName="Sheet3"/>
  <dimension ref="B1:N50"/>
  <sheetViews>
    <sheetView topLeftCell="A31" workbookViewId="0">
      <selection activeCell="P47" sqref="P47"/>
    </sheetView>
  </sheetViews>
  <sheetFormatPr defaultRowHeight="15"/>
  <cols>
    <col min="2" max="2" width="15.85546875" customWidth="1"/>
    <col min="3" max="3" width="35.42578125" customWidth="1"/>
  </cols>
  <sheetData>
    <row r="1" spans="2:14" s="39" customFormat="1"/>
    <row r="2" spans="2:14" s="39" customFormat="1">
      <c r="E2" s="79" t="s">
        <v>514</v>
      </c>
      <c r="F2" s="79"/>
      <c r="G2" s="79"/>
      <c r="L2" s="79" t="s">
        <v>515</v>
      </c>
      <c r="M2" s="79"/>
      <c r="N2" s="79"/>
    </row>
    <row r="3" spans="2:14" s="39" customFormat="1" ht="25.5">
      <c r="B3" s="49" t="s">
        <v>406</v>
      </c>
      <c r="C3" s="49" t="s">
        <v>407</v>
      </c>
      <c r="D3" s="49" t="s">
        <v>408</v>
      </c>
      <c r="E3" s="50" t="s">
        <v>513</v>
      </c>
      <c r="F3" s="49" t="s">
        <v>409</v>
      </c>
      <c r="G3" s="49" t="s">
        <v>410</v>
      </c>
      <c r="H3" s="49" t="s">
        <v>411</v>
      </c>
      <c r="I3" s="49" t="s">
        <v>412</v>
      </c>
      <c r="J3" s="44"/>
      <c r="K3" s="51" t="s">
        <v>408</v>
      </c>
      <c r="L3" s="50" t="s">
        <v>513</v>
      </c>
      <c r="M3" s="49" t="s">
        <v>409</v>
      </c>
      <c r="N3" s="49" t="s">
        <v>410</v>
      </c>
    </row>
    <row r="4" spans="2:14" s="39" customFormat="1">
      <c r="B4" s="40" t="s">
        <v>413</v>
      </c>
      <c r="C4" s="40" t="s">
        <v>414</v>
      </c>
      <c r="D4" s="38"/>
      <c r="E4" s="40">
        <v>1</v>
      </c>
      <c r="F4" s="40">
        <v>0.5</v>
      </c>
      <c r="G4" s="38"/>
      <c r="H4" s="41" t="s">
        <v>415</v>
      </c>
      <c r="I4" s="38"/>
      <c r="K4" s="43"/>
      <c r="L4" s="43"/>
      <c r="M4" s="43"/>
      <c r="N4" s="43"/>
    </row>
    <row r="5" spans="2:14" s="39" customFormat="1">
      <c r="B5" s="40" t="s">
        <v>416</v>
      </c>
      <c r="C5" s="40" t="s">
        <v>417</v>
      </c>
      <c r="D5" s="40" t="s">
        <v>418</v>
      </c>
      <c r="E5" s="40">
        <v>492.7</v>
      </c>
      <c r="F5" s="40">
        <v>100</v>
      </c>
      <c r="G5" s="38"/>
      <c r="H5" s="41" t="s">
        <v>415</v>
      </c>
      <c r="I5" s="38"/>
      <c r="K5" s="43"/>
      <c r="L5" s="43"/>
      <c r="M5" s="43"/>
      <c r="N5" s="43"/>
    </row>
    <row r="6" spans="2:14" s="39" customFormat="1">
      <c r="B6" s="40" t="s">
        <v>419</v>
      </c>
      <c r="C6" s="40" t="s">
        <v>420</v>
      </c>
      <c r="D6" s="38"/>
      <c r="E6" s="40">
        <v>0</v>
      </c>
      <c r="F6" s="38"/>
      <c r="G6" s="40">
        <v>1</v>
      </c>
      <c r="H6" s="41" t="s">
        <v>415</v>
      </c>
      <c r="I6" s="38"/>
      <c r="K6" s="43"/>
      <c r="L6" s="43"/>
      <c r="M6" s="43"/>
      <c r="N6" s="43"/>
    </row>
    <row r="7" spans="2:14" s="39" customFormat="1">
      <c r="B7" s="40" t="s">
        <v>421</v>
      </c>
      <c r="C7" s="40" t="s">
        <v>422</v>
      </c>
      <c r="D7" s="38"/>
      <c r="E7" s="40">
        <v>0</v>
      </c>
      <c r="F7" s="38"/>
      <c r="G7" s="40">
        <v>1</v>
      </c>
      <c r="H7" s="41" t="s">
        <v>415</v>
      </c>
      <c r="I7" s="38"/>
      <c r="K7" s="43"/>
      <c r="L7" s="43"/>
      <c r="M7" s="43"/>
      <c r="N7" s="43"/>
    </row>
    <row r="8" spans="2:14" s="39" customFormat="1">
      <c r="B8" s="40" t="s">
        <v>423</v>
      </c>
      <c r="C8" s="40" t="s">
        <v>424</v>
      </c>
      <c r="D8" s="38"/>
      <c r="E8" s="40">
        <v>0</v>
      </c>
      <c r="F8" s="38"/>
      <c r="G8" s="40">
        <v>1</v>
      </c>
      <c r="H8" s="41" t="s">
        <v>415</v>
      </c>
      <c r="I8" s="38"/>
      <c r="K8" s="43"/>
      <c r="L8" s="43"/>
      <c r="M8" s="43"/>
      <c r="N8" s="43"/>
    </row>
    <row r="9" spans="2:14" s="39" customFormat="1">
      <c r="B9" s="40" t="s">
        <v>425</v>
      </c>
      <c r="C9" s="40" t="s">
        <v>426</v>
      </c>
      <c r="D9" s="38"/>
      <c r="E9" s="40">
        <v>0</v>
      </c>
      <c r="F9" s="40">
        <v>0.5</v>
      </c>
      <c r="G9" s="38"/>
      <c r="H9" s="41" t="s">
        <v>415</v>
      </c>
      <c r="I9" s="38"/>
      <c r="K9" s="43"/>
      <c r="L9" s="43"/>
      <c r="M9" s="43"/>
      <c r="N9" s="43"/>
    </row>
    <row r="10" spans="2:14" s="39" customFormat="1">
      <c r="B10" s="40" t="s">
        <v>427</v>
      </c>
      <c r="C10" s="40" t="s">
        <v>428</v>
      </c>
      <c r="D10" s="40" t="s">
        <v>429</v>
      </c>
      <c r="E10" s="40">
        <v>-24.3</v>
      </c>
      <c r="F10" s="38"/>
      <c r="G10" s="40">
        <v>-70</v>
      </c>
      <c r="H10" s="41" t="s">
        <v>415</v>
      </c>
      <c r="I10" s="38"/>
      <c r="K10" s="43"/>
      <c r="L10" s="43">
        <f>E10*5/9</f>
        <v>-13.5</v>
      </c>
      <c r="M10" s="43"/>
      <c r="N10" s="43">
        <f>G10*5/9</f>
        <v>-38.888888888888886</v>
      </c>
    </row>
    <row r="11" spans="2:14" s="39" customFormat="1">
      <c r="B11" s="40" t="s">
        <v>430</v>
      </c>
      <c r="C11" s="40" t="s">
        <v>431</v>
      </c>
      <c r="D11" s="38"/>
      <c r="E11" s="40">
        <v>0</v>
      </c>
      <c r="F11" s="40">
        <v>1</v>
      </c>
      <c r="G11" s="40">
        <v>1</v>
      </c>
      <c r="H11" s="41" t="s">
        <v>415</v>
      </c>
      <c r="I11" s="38"/>
      <c r="K11" s="43"/>
      <c r="L11" s="43"/>
      <c r="M11" s="43"/>
      <c r="N11" s="43"/>
    </row>
    <row r="12" spans="2:14" s="39" customFormat="1">
      <c r="B12" s="40" t="s">
        <v>432</v>
      </c>
      <c r="C12" s="40" t="s">
        <v>433</v>
      </c>
      <c r="D12" s="38"/>
      <c r="E12" s="40">
        <v>0</v>
      </c>
      <c r="F12" s="40">
        <v>1</v>
      </c>
      <c r="G12" s="40">
        <v>1</v>
      </c>
      <c r="H12" s="41" t="s">
        <v>415</v>
      </c>
      <c r="I12" s="38"/>
      <c r="K12" s="43"/>
      <c r="L12" s="43"/>
      <c r="M12" s="43"/>
      <c r="N12" s="43"/>
    </row>
    <row r="13" spans="2:14" s="39" customFormat="1">
      <c r="B13" s="40" t="s">
        <v>434</v>
      </c>
      <c r="C13" s="40" t="s">
        <v>435</v>
      </c>
      <c r="D13" s="38"/>
      <c r="E13" s="40">
        <v>1</v>
      </c>
      <c r="F13" s="40">
        <v>0.5</v>
      </c>
      <c r="G13" s="38"/>
      <c r="H13" s="38"/>
      <c r="I13" s="41" t="s">
        <v>415</v>
      </c>
      <c r="K13" s="43"/>
      <c r="L13" s="43"/>
      <c r="M13" s="43"/>
      <c r="N13" s="43"/>
    </row>
    <row r="14" spans="2:14" s="39" customFormat="1">
      <c r="B14" s="40" t="s">
        <v>436</v>
      </c>
      <c r="C14" s="40" t="s">
        <v>437</v>
      </c>
      <c r="D14" s="38"/>
      <c r="E14" s="40">
        <v>1</v>
      </c>
      <c r="F14" s="40">
        <v>0.5</v>
      </c>
      <c r="G14" s="38"/>
      <c r="H14" s="38"/>
      <c r="I14" s="41" t="s">
        <v>415</v>
      </c>
      <c r="K14" s="43"/>
      <c r="L14" s="43"/>
      <c r="M14" s="43"/>
      <c r="N14" s="43"/>
    </row>
    <row r="15" spans="2:14" s="39" customFormat="1">
      <c r="B15" s="40" t="s">
        <v>438</v>
      </c>
      <c r="C15" s="40" t="s">
        <v>439</v>
      </c>
      <c r="D15" s="38"/>
      <c r="E15" s="40">
        <v>1</v>
      </c>
      <c r="F15" s="40">
        <v>0.5</v>
      </c>
      <c r="G15" s="38"/>
      <c r="H15" s="38"/>
      <c r="I15" s="41" t="s">
        <v>415</v>
      </c>
      <c r="K15" s="43"/>
      <c r="L15" s="43"/>
      <c r="M15" s="43"/>
      <c r="N15" s="43"/>
    </row>
    <row r="16" spans="2:14" s="39" customFormat="1">
      <c r="B16" s="40" t="s">
        <v>440</v>
      </c>
      <c r="C16" s="40" t="s">
        <v>441</v>
      </c>
      <c r="D16" s="40" t="s">
        <v>442</v>
      </c>
      <c r="E16" s="40">
        <v>995.7</v>
      </c>
      <c r="F16" s="40">
        <v>1012</v>
      </c>
      <c r="G16" s="38"/>
      <c r="H16" s="38"/>
      <c r="I16" s="41" t="s">
        <v>415</v>
      </c>
      <c r="K16" s="12" t="s">
        <v>530</v>
      </c>
      <c r="L16" s="43">
        <f>E16*5/9</f>
        <v>553.16666666666663</v>
      </c>
      <c r="M16" s="43">
        <f>F16*5/9</f>
        <v>562.22222222222217</v>
      </c>
      <c r="N16" s="43"/>
    </row>
    <row r="17" spans="2:14" s="39" customFormat="1">
      <c r="B17" s="40" t="s">
        <v>443</v>
      </c>
      <c r="C17" s="40" t="s">
        <v>444</v>
      </c>
      <c r="D17" s="40" t="s">
        <v>442</v>
      </c>
      <c r="E17" s="40">
        <v>995.7</v>
      </c>
      <c r="F17" s="40">
        <v>1007</v>
      </c>
      <c r="G17" s="38"/>
      <c r="H17" s="38"/>
      <c r="I17" s="41" t="s">
        <v>415</v>
      </c>
      <c r="K17" s="12" t="s">
        <v>530</v>
      </c>
      <c r="L17" s="43">
        <f>E17*5/9</f>
        <v>553.16666666666663</v>
      </c>
      <c r="M17" s="43">
        <f>F17*5/9</f>
        <v>559.44444444444446</v>
      </c>
      <c r="N17" s="43"/>
    </row>
    <row r="18" spans="2:14" s="39" customFormat="1">
      <c r="B18" s="40" t="s">
        <v>445</v>
      </c>
      <c r="C18" s="40" t="s">
        <v>446</v>
      </c>
      <c r="D18" s="40" t="s">
        <v>442</v>
      </c>
      <c r="E18" s="40">
        <v>995.7</v>
      </c>
      <c r="F18" s="38"/>
      <c r="G18" s="40">
        <v>997</v>
      </c>
      <c r="H18" s="38"/>
      <c r="I18" s="41" t="s">
        <v>415</v>
      </c>
      <c r="K18" s="12" t="s">
        <v>530</v>
      </c>
      <c r="L18" s="43">
        <f t="shared" ref="L18:L31" si="0">E18*5/9</f>
        <v>553.16666666666663</v>
      </c>
      <c r="M18" s="43"/>
      <c r="N18" s="43">
        <f>G18*5/9</f>
        <v>553.88888888888891</v>
      </c>
    </row>
    <row r="19" spans="2:14" s="39" customFormat="1">
      <c r="B19" s="40" t="s">
        <v>447</v>
      </c>
      <c r="C19" s="40" t="s">
        <v>448</v>
      </c>
      <c r="D19" s="40" t="s">
        <v>442</v>
      </c>
      <c r="E19" s="40">
        <v>995.7</v>
      </c>
      <c r="F19" s="38"/>
      <c r="G19" s="40">
        <v>992</v>
      </c>
      <c r="H19" s="38"/>
      <c r="I19" s="41" t="s">
        <v>415</v>
      </c>
      <c r="K19" s="12" t="s">
        <v>530</v>
      </c>
      <c r="L19" s="43">
        <f t="shared" si="0"/>
        <v>553.16666666666663</v>
      </c>
      <c r="M19" s="43"/>
      <c r="N19" s="43">
        <f>G19*5/9</f>
        <v>551.11111111111109</v>
      </c>
    </row>
    <row r="20" spans="2:14" s="39" customFormat="1">
      <c r="B20" s="40" t="s">
        <v>449</v>
      </c>
      <c r="C20" s="40" t="s">
        <v>450</v>
      </c>
      <c r="D20" s="40" t="s">
        <v>442</v>
      </c>
      <c r="E20" s="40">
        <v>972.5</v>
      </c>
      <c r="F20" s="40">
        <v>988.8</v>
      </c>
      <c r="G20" s="38"/>
      <c r="H20" s="38"/>
      <c r="I20" s="41" t="s">
        <v>415</v>
      </c>
      <c r="K20" s="12" t="s">
        <v>530</v>
      </c>
      <c r="L20" s="43">
        <f t="shared" si="0"/>
        <v>540.27777777777783</v>
      </c>
      <c r="M20" s="43">
        <f>F20*5/9</f>
        <v>549.33333333333337</v>
      </c>
      <c r="N20" s="43"/>
    </row>
    <row r="21" spans="2:14" s="39" customFormat="1">
      <c r="B21" s="40" t="s">
        <v>451</v>
      </c>
      <c r="C21" s="40" t="s">
        <v>452</v>
      </c>
      <c r="D21" s="40" t="s">
        <v>442</v>
      </c>
      <c r="E21" s="40">
        <v>972.5</v>
      </c>
      <c r="F21" s="40">
        <v>983.8</v>
      </c>
      <c r="G21" s="38"/>
      <c r="H21" s="38"/>
      <c r="I21" s="41" t="s">
        <v>415</v>
      </c>
      <c r="K21" s="12" t="s">
        <v>530</v>
      </c>
      <c r="L21" s="43">
        <f t="shared" si="0"/>
        <v>540.27777777777783</v>
      </c>
      <c r="M21" s="43">
        <f>F21*5/9</f>
        <v>546.55555555555554</v>
      </c>
      <c r="N21" s="43"/>
    </row>
    <row r="22" spans="2:14" s="39" customFormat="1">
      <c r="B22" s="40" t="s">
        <v>453</v>
      </c>
      <c r="C22" s="40" t="s">
        <v>454</v>
      </c>
      <c r="D22" s="40" t="s">
        <v>442</v>
      </c>
      <c r="E22" s="40">
        <v>972.5</v>
      </c>
      <c r="F22" s="38"/>
      <c r="G22" s="40">
        <v>973.8</v>
      </c>
      <c r="H22" s="38"/>
      <c r="I22" s="41" t="s">
        <v>415</v>
      </c>
      <c r="K22" s="12" t="s">
        <v>530</v>
      </c>
      <c r="L22" s="43">
        <f t="shared" si="0"/>
        <v>540.27777777777783</v>
      </c>
      <c r="M22" s="43"/>
      <c r="N22" s="43">
        <f>G22*5/9</f>
        <v>541</v>
      </c>
    </row>
    <row r="23" spans="2:14" s="39" customFormat="1">
      <c r="B23" s="40" t="s">
        <v>455</v>
      </c>
      <c r="C23" s="40" t="s">
        <v>456</v>
      </c>
      <c r="D23" s="40" t="s">
        <v>442</v>
      </c>
      <c r="E23" s="40">
        <v>972.5</v>
      </c>
      <c r="F23" s="38"/>
      <c r="G23" s="40">
        <v>968.8</v>
      </c>
      <c r="H23" s="38"/>
      <c r="I23" s="41" t="s">
        <v>415</v>
      </c>
      <c r="K23" s="12" t="s">
        <v>530</v>
      </c>
      <c r="L23" s="43">
        <f t="shared" si="0"/>
        <v>540.27777777777783</v>
      </c>
      <c r="M23" s="43"/>
      <c r="N23" s="43">
        <f>G23*5/9</f>
        <v>538.22222222222217</v>
      </c>
    </row>
    <row r="24" spans="2:14" s="39" customFormat="1">
      <c r="B24" s="40" t="s">
        <v>457</v>
      </c>
      <c r="C24" s="40" t="s">
        <v>458</v>
      </c>
      <c r="D24" s="40" t="s">
        <v>442</v>
      </c>
      <c r="E24" s="40">
        <v>995.3</v>
      </c>
      <c r="F24" s="40">
        <v>1007</v>
      </c>
      <c r="G24" s="38"/>
      <c r="H24" s="38"/>
      <c r="I24" s="41" t="s">
        <v>415</v>
      </c>
      <c r="K24" s="12" t="s">
        <v>530</v>
      </c>
      <c r="L24" s="43">
        <f t="shared" si="0"/>
        <v>552.94444444444446</v>
      </c>
      <c r="M24" s="43">
        <f>F24*5/9</f>
        <v>559.44444444444446</v>
      </c>
      <c r="N24" s="43"/>
    </row>
    <row r="25" spans="2:14" s="39" customFormat="1">
      <c r="B25" s="40" t="s">
        <v>459</v>
      </c>
      <c r="C25" s="40" t="s">
        <v>460</v>
      </c>
      <c r="D25" s="40" t="s">
        <v>442</v>
      </c>
      <c r="E25" s="40">
        <v>995.3</v>
      </c>
      <c r="F25" s="40">
        <v>1007</v>
      </c>
      <c r="G25" s="38"/>
      <c r="H25" s="38"/>
      <c r="I25" s="41" t="s">
        <v>415</v>
      </c>
      <c r="K25" s="12" t="s">
        <v>530</v>
      </c>
      <c r="L25" s="43">
        <f t="shared" si="0"/>
        <v>552.94444444444446</v>
      </c>
      <c r="M25" s="43">
        <f>F25*5/9</f>
        <v>559.44444444444446</v>
      </c>
      <c r="N25" s="43"/>
    </row>
    <row r="26" spans="2:14" s="39" customFormat="1">
      <c r="B26" s="40" t="s">
        <v>461</v>
      </c>
      <c r="C26" s="40" t="s">
        <v>462</v>
      </c>
      <c r="D26" s="40" t="s">
        <v>442</v>
      </c>
      <c r="E26" s="40">
        <v>995.3</v>
      </c>
      <c r="F26" s="38"/>
      <c r="G26" s="40">
        <v>997</v>
      </c>
      <c r="H26" s="38"/>
      <c r="I26" s="41" t="s">
        <v>415</v>
      </c>
      <c r="K26" s="12" t="s">
        <v>530</v>
      </c>
      <c r="L26" s="43">
        <f t="shared" si="0"/>
        <v>552.94444444444446</v>
      </c>
      <c r="M26" s="43"/>
      <c r="N26" s="43">
        <f>G26*5/9</f>
        <v>553.88888888888891</v>
      </c>
    </row>
    <row r="27" spans="2:14" s="39" customFormat="1">
      <c r="B27" s="40" t="s">
        <v>463</v>
      </c>
      <c r="C27" s="40" t="s">
        <v>464</v>
      </c>
      <c r="D27" s="40" t="s">
        <v>442</v>
      </c>
      <c r="E27" s="40">
        <v>995.3</v>
      </c>
      <c r="F27" s="38"/>
      <c r="G27" s="40">
        <v>992</v>
      </c>
      <c r="H27" s="38"/>
      <c r="I27" s="41" t="s">
        <v>415</v>
      </c>
      <c r="K27" s="12" t="s">
        <v>530</v>
      </c>
      <c r="L27" s="43">
        <f t="shared" si="0"/>
        <v>552.94444444444446</v>
      </c>
      <c r="M27" s="43"/>
      <c r="N27" s="43">
        <f>G27*5/9</f>
        <v>551.11111111111109</v>
      </c>
    </row>
    <row r="28" spans="2:14" s="39" customFormat="1">
      <c r="B28" s="40" t="s">
        <v>465</v>
      </c>
      <c r="C28" s="40" t="s">
        <v>466</v>
      </c>
      <c r="D28" s="40" t="s">
        <v>442</v>
      </c>
      <c r="E28" s="40">
        <v>971</v>
      </c>
      <c r="F28" s="40">
        <v>988.8</v>
      </c>
      <c r="G28" s="38"/>
      <c r="H28" s="38"/>
      <c r="I28" s="41" t="s">
        <v>415</v>
      </c>
      <c r="K28" s="12" t="s">
        <v>530</v>
      </c>
      <c r="L28" s="43">
        <f t="shared" si="0"/>
        <v>539.44444444444446</v>
      </c>
      <c r="M28" s="43">
        <f>F28*5/9</f>
        <v>549.33333333333337</v>
      </c>
      <c r="N28" s="43"/>
    </row>
    <row r="29" spans="2:14" s="39" customFormat="1">
      <c r="B29" s="40" t="s">
        <v>467</v>
      </c>
      <c r="C29" s="40" t="s">
        <v>468</v>
      </c>
      <c r="D29" s="40" t="s">
        <v>442</v>
      </c>
      <c r="E29" s="40">
        <v>971</v>
      </c>
      <c r="F29" s="40">
        <v>983.8</v>
      </c>
      <c r="G29" s="38"/>
      <c r="H29" s="38"/>
      <c r="I29" s="41" t="s">
        <v>415</v>
      </c>
      <c r="K29" s="12" t="s">
        <v>530</v>
      </c>
      <c r="L29" s="43">
        <f t="shared" si="0"/>
        <v>539.44444444444446</v>
      </c>
      <c r="M29" s="43">
        <f>F29*5/9</f>
        <v>546.55555555555554</v>
      </c>
      <c r="N29" s="43"/>
    </row>
    <row r="30" spans="2:14" s="39" customFormat="1">
      <c r="B30" s="40" t="s">
        <v>469</v>
      </c>
      <c r="C30" s="40" t="s">
        <v>470</v>
      </c>
      <c r="D30" s="40" t="s">
        <v>442</v>
      </c>
      <c r="E30" s="40">
        <v>971</v>
      </c>
      <c r="F30" s="38"/>
      <c r="G30" s="40">
        <v>973.8</v>
      </c>
      <c r="H30" s="38"/>
      <c r="I30" s="41" t="s">
        <v>415</v>
      </c>
      <c r="K30" s="43"/>
      <c r="L30" s="43">
        <f t="shared" si="0"/>
        <v>539.44444444444446</v>
      </c>
      <c r="M30" s="43"/>
      <c r="N30" s="43">
        <f>G30*5/9</f>
        <v>541</v>
      </c>
    </row>
    <row r="31" spans="2:14" s="39" customFormat="1">
      <c r="B31" s="40" t="s">
        <v>471</v>
      </c>
      <c r="C31" s="40" t="s">
        <v>472</v>
      </c>
      <c r="D31" s="40" t="s">
        <v>442</v>
      </c>
      <c r="E31" s="40">
        <v>971</v>
      </c>
      <c r="F31" s="38"/>
      <c r="G31" s="40">
        <v>968.8</v>
      </c>
      <c r="H31" s="38"/>
      <c r="I31" s="41" t="s">
        <v>415</v>
      </c>
      <c r="K31" s="43"/>
      <c r="L31" s="43">
        <f t="shared" si="0"/>
        <v>539.44444444444446</v>
      </c>
      <c r="M31" s="43"/>
      <c r="N31" s="43">
        <f>G31*5/9</f>
        <v>538.22222222222217</v>
      </c>
    </row>
    <row r="32" spans="2:14" s="39" customFormat="1">
      <c r="B32" s="40" t="s">
        <v>473</v>
      </c>
      <c r="C32" s="40" t="s">
        <v>474</v>
      </c>
      <c r="D32" s="38"/>
      <c r="E32" s="40">
        <v>1</v>
      </c>
      <c r="F32" s="40">
        <v>0.5</v>
      </c>
      <c r="G32" s="38"/>
      <c r="H32" s="38"/>
      <c r="I32" s="41" t="s">
        <v>415</v>
      </c>
      <c r="K32" s="43"/>
      <c r="L32" s="43"/>
      <c r="M32" s="43"/>
      <c r="N32" s="43"/>
    </row>
    <row r="33" spans="2:14" s="39" customFormat="1">
      <c r="B33" s="40" t="s">
        <v>475</v>
      </c>
      <c r="C33" s="40" t="s">
        <v>476</v>
      </c>
      <c r="D33" s="40" t="s">
        <v>477</v>
      </c>
      <c r="E33" s="40">
        <v>0.3</v>
      </c>
      <c r="F33" s="40">
        <v>100</v>
      </c>
      <c r="G33" s="38"/>
      <c r="H33" s="38"/>
      <c r="I33" s="41" t="s">
        <v>415</v>
      </c>
      <c r="K33" s="12" t="s">
        <v>531</v>
      </c>
      <c r="L33" s="43">
        <f>E33*0.45359237</f>
        <v>0.13607771099999999</v>
      </c>
      <c r="M33" s="43">
        <f>F33*0.45359237</f>
        <v>45.359237</v>
      </c>
      <c r="N33" s="43"/>
    </row>
    <row r="34" spans="2:14" s="39" customFormat="1">
      <c r="B34" s="40" t="s">
        <v>478</v>
      </c>
      <c r="C34" s="40" t="s">
        <v>479</v>
      </c>
      <c r="D34" s="38"/>
      <c r="E34" s="40">
        <v>0</v>
      </c>
      <c r="F34" s="40">
        <v>0.5</v>
      </c>
      <c r="G34" s="38"/>
      <c r="H34" s="38"/>
      <c r="I34" s="41" t="s">
        <v>415</v>
      </c>
      <c r="K34" s="43"/>
      <c r="L34" s="43"/>
      <c r="M34" s="43"/>
      <c r="N34" s="43"/>
    </row>
    <row r="35" spans="2:14" s="39" customFormat="1">
      <c r="B35" s="40" t="s">
        <v>480</v>
      </c>
      <c r="C35" s="40" t="s">
        <v>481</v>
      </c>
      <c r="D35" s="40" t="s">
        <v>477</v>
      </c>
      <c r="E35" s="40">
        <v>0</v>
      </c>
      <c r="F35" s="40">
        <v>5</v>
      </c>
      <c r="G35" s="38"/>
      <c r="H35" s="38"/>
      <c r="I35" s="41" t="s">
        <v>415</v>
      </c>
      <c r="K35" s="12" t="s">
        <v>531</v>
      </c>
      <c r="L35" s="43">
        <f t="shared" ref="L35:M37" si="1">E35*0.45359237</f>
        <v>0</v>
      </c>
      <c r="M35" s="43">
        <f t="shared" si="1"/>
        <v>2.2679618500000003</v>
      </c>
      <c r="N35" s="43"/>
    </row>
    <row r="36" spans="2:14" s="39" customFormat="1">
      <c r="B36" s="40" t="s">
        <v>482</v>
      </c>
      <c r="C36" s="40" t="s">
        <v>483</v>
      </c>
      <c r="D36" s="40" t="s">
        <v>477</v>
      </c>
      <c r="E36" s="40">
        <v>0</v>
      </c>
      <c r="F36" s="40">
        <v>100</v>
      </c>
      <c r="G36" s="38"/>
      <c r="H36" s="38"/>
      <c r="I36" s="41" t="s">
        <v>415</v>
      </c>
      <c r="K36" s="12" t="s">
        <v>531</v>
      </c>
      <c r="L36" s="43">
        <f t="shared" si="1"/>
        <v>0</v>
      </c>
      <c r="M36" s="43">
        <f t="shared" si="1"/>
        <v>45.359237</v>
      </c>
      <c r="N36" s="43"/>
    </row>
    <row r="37" spans="2:14" s="39" customFormat="1">
      <c r="B37" s="40" t="s">
        <v>484</v>
      </c>
      <c r="C37" s="40" t="s">
        <v>485</v>
      </c>
      <c r="D37" s="40" t="s">
        <v>477</v>
      </c>
      <c r="E37" s="40">
        <v>0.6</v>
      </c>
      <c r="F37" s="40">
        <v>100</v>
      </c>
      <c r="G37" s="38"/>
      <c r="H37" s="38"/>
      <c r="I37" s="41" t="s">
        <v>415</v>
      </c>
      <c r="K37" s="12" t="s">
        <v>531</v>
      </c>
      <c r="L37" s="43">
        <f t="shared" si="1"/>
        <v>0.27215542199999998</v>
      </c>
      <c r="M37" s="43">
        <f t="shared" si="1"/>
        <v>45.359237</v>
      </c>
      <c r="N37" s="43"/>
    </row>
    <row r="38" spans="2:14" s="39" customFormat="1">
      <c r="B38" s="40" t="s">
        <v>486</v>
      </c>
      <c r="C38" s="40" t="s">
        <v>487</v>
      </c>
      <c r="D38" s="40" t="s">
        <v>477</v>
      </c>
      <c r="E38" s="40">
        <v>0.6</v>
      </c>
      <c r="F38" s="38"/>
      <c r="G38" s="40">
        <v>10</v>
      </c>
      <c r="H38" s="38"/>
      <c r="I38" s="41" t="s">
        <v>415</v>
      </c>
      <c r="K38" s="12" t="s">
        <v>531</v>
      </c>
      <c r="L38" s="43">
        <f>E38*0.45359237</f>
        <v>0.27215542199999998</v>
      </c>
      <c r="M38" s="43"/>
      <c r="N38" s="43">
        <f>G38*0.45359237</f>
        <v>4.5359237000000006</v>
      </c>
    </row>
    <row r="39" spans="2:14" s="39" customFormat="1">
      <c r="B39" s="40" t="s">
        <v>488</v>
      </c>
      <c r="C39" s="40" t="s">
        <v>489</v>
      </c>
      <c r="D39" s="40" t="s">
        <v>477</v>
      </c>
      <c r="E39" s="40">
        <v>0</v>
      </c>
      <c r="F39" s="38"/>
      <c r="G39" s="40">
        <v>10</v>
      </c>
      <c r="H39" s="38"/>
      <c r="I39" s="41" t="s">
        <v>415</v>
      </c>
      <c r="K39" s="12" t="s">
        <v>531</v>
      </c>
      <c r="L39" s="43">
        <f>E39*0.45359237</f>
        <v>0</v>
      </c>
      <c r="M39" s="43"/>
      <c r="N39" s="43">
        <f>G39*0.45359237</f>
        <v>4.5359237000000006</v>
      </c>
    </row>
    <row r="40" spans="2:14" s="39" customFormat="1">
      <c r="B40" s="40" t="s">
        <v>490</v>
      </c>
      <c r="C40" s="40" t="s">
        <v>491</v>
      </c>
      <c r="D40" s="40" t="s">
        <v>442</v>
      </c>
      <c r="E40" s="40">
        <v>644.4</v>
      </c>
      <c r="F40" s="40">
        <v>675.6</v>
      </c>
      <c r="G40" s="38"/>
      <c r="H40" s="38"/>
      <c r="I40" s="41" t="s">
        <v>415</v>
      </c>
      <c r="K40" s="12" t="s">
        <v>530</v>
      </c>
      <c r="L40" s="43">
        <f>E40*5/9</f>
        <v>358</v>
      </c>
      <c r="M40" s="43">
        <f>F40*5/9</f>
        <v>375.33333333333331</v>
      </c>
      <c r="N40" s="43"/>
    </row>
    <row r="41" spans="2:14" s="39" customFormat="1">
      <c r="B41" s="40" t="s">
        <v>492</v>
      </c>
      <c r="C41" s="40" t="s">
        <v>493</v>
      </c>
      <c r="D41" s="40" t="s">
        <v>442</v>
      </c>
      <c r="E41" s="40">
        <v>669</v>
      </c>
      <c r="F41" s="40">
        <v>675.6</v>
      </c>
      <c r="G41" s="38"/>
      <c r="H41" s="38"/>
      <c r="I41" s="41" t="s">
        <v>415</v>
      </c>
      <c r="K41" s="12" t="s">
        <v>530</v>
      </c>
      <c r="L41" s="43">
        <f>E41*5/9</f>
        <v>371.66666666666669</v>
      </c>
      <c r="M41" s="43">
        <f>F41*5/9</f>
        <v>375.33333333333331</v>
      </c>
      <c r="N41" s="43"/>
    </row>
    <row r="42" spans="2:14" s="39" customFormat="1">
      <c r="B42" s="40" t="s">
        <v>494</v>
      </c>
      <c r="C42" s="40" t="s">
        <v>495</v>
      </c>
      <c r="D42" s="40" t="s">
        <v>429</v>
      </c>
      <c r="E42" s="40">
        <v>-24.3</v>
      </c>
      <c r="F42" s="38"/>
      <c r="G42" s="40">
        <v>-60</v>
      </c>
      <c r="H42" s="38"/>
      <c r="I42" s="41" t="s">
        <v>415</v>
      </c>
      <c r="K42" s="12" t="s">
        <v>530</v>
      </c>
      <c r="L42" s="43">
        <f>E42*5/9</f>
        <v>-13.5</v>
      </c>
      <c r="M42" s="43"/>
      <c r="N42" s="43">
        <f>G42*5/9</f>
        <v>-33.333333333333336</v>
      </c>
    </row>
    <row r="43" spans="2:14" s="39" customFormat="1">
      <c r="B43" s="40" t="s">
        <v>496</v>
      </c>
      <c r="C43" s="40" t="s">
        <v>497</v>
      </c>
      <c r="D43" s="40" t="s">
        <v>498</v>
      </c>
      <c r="E43" s="40">
        <v>-0.6</v>
      </c>
      <c r="F43" s="40">
        <v>70</v>
      </c>
      <c r="G43" s="38"/>
      <c r="H43" s="38"/>
      <c r="I43" s="41" t="s">
        <v>415</v>
      </c>
      <c r="K43" s="43"/>
      <c r="L43" s="43"/>
      <c r="M43" s="43"/>
      <c r="N43" s="43"/>
    </row>
    <row r="44" spans="2:14" s="39" customFormat="1">
      <c r="B44" s="40" t="s">
        <v>499</v>
      </c>
      <c r="C44" s="40" t="s">
        <v>500</v>
      </c>
      <c r="D44" s="40" t="s">
        <v>498</v>
      </c>
      <c r="E44" s="40">
        <v>-0.4</v>
      </c>
      <c r="F44" s="40">
        <v>70</v>
      </c>
      <c r="G44" s="38"/>
      <c r="H44" s="38"/>
      <c r="I44" s="41" t="s">
        <v>415</v>
      </c>
      <c r="K44" s="43"/>
      <c r="L44" s="43"/>
      <c r="M44" s="43"/>
      <c r="N44" s="43"/>
    </row>
    <row r="45" spans="2:14" s="39" customFormat="1">
      <c r="B45" s="40" t="s">
        <v>501</v>
      </c>
      <c r="C45" s="40" t="s">
        <v>502</v>
      </c>
      <c r="D45" s="40" t="s">
        <v>498</v>
      </c>
      <c r="E45" s="40">
        <v>-0.2</v>
      </c>
      <c r="F45" s="40">
        <v>70</v>
      </c>
      <c r="G45" s="38"/>
      <c r="H45" s="38"/>
      <c r="I45" s="41" t="s">
        <v>415</v>
      </c>
      <c r="K45" s="43"/>
      <c r="L45" s="43"/>
      <c r="M45" s="43"/>
      <c r="N45" s="43"/>
    </row>
    <row r="46" spans="2:14" s="39" customFormat="1">
      <c r="B46" s="40" t="s">
        <v>503</v>
      </c>
      <c r="C46" s="40" t="s">
        <v>504</v>
      </c>
      <c r="D46" s="40" t="s">
        <v>498</v>
      </c>
      <c r="E46" s="40">
        <v>-0.9</v>
      </c>
      <c r="F46" s="40">
        <v>70</v>
      </c>
      <c r="G46" s="38"/>
      <c r="H46" s="38"/>
      <c r="I46" s="41" t="s">
        <v>415</v>
      </c>
      <c r="K46" s="43"/>
      <c r="L46" s="43"/>
      <c r="M46" s="43"/>
      <c r="N46" s="43"/>
    </row>
    <row r="47" spans="2:14" s="39" customFormat="1">
      <c r="B47" s="40" t="s">
        <v>505</v>
      </c>
      <c r="C47" s="40" t="s">
        <v>506</v>
      </c>
      <c r="D47" s="40" t="s">
        <v>498</v>
      </c>
      <c r="E47" s="40">
        <v>-0.6</v>
      </c>
      <c r="F47" s="38"/>
      <c r="G47" s="40">
        <v>20</v>
      </c>
      <c r="H47" s="38"/>
      <c r="I47" s="41" t="s">
        <v>415</v>
      </c>
      <c r="K47" s="43"/>
      <c r="L47" s="43"/>
      <c r="M47" s="43"/>
      <c r="N47" s="43"/>
    </row>
    <row r="48" spans="2:14" s="39" customFormat="1">
      <c r="B48" s="40" t="s">
        <v>507</v>
      </c>
      <c r="C48" s="40" t="s">
        <v>508</v>
      </c>
      <c r="D48" s="40" t="s">
        <v>498</v>
      </c>
      <c r="E48" s="40">
        <v>-0.4</v>
      </c>
      <c r="F48" s="38"/>
      <c r="G48" s="40">
        <v>20</v>
      </c>
      <c r="H48" s="38"/>
      <c r="I48" s="41" t="s">
        <v>415</v>
      </c>
      <c r="K48" s="43"/>
      <c r="L48" s="43"/>
      <c r="M48" s="43"/>
      <c r="N48" s="43"/>
    </row>
    <row r="49" spans="2:14" s="39" customFormat="1">
      <c r="B49" s="40" t="s">
        <v>509</v>
      </c>
      <c r="C49" s="40" t="s">
        <v>510</v>
      </c>
      <c r="D49" s="40" t="s">
        <v>498</v>
      </c>
      <c r="E49" s="40">
        <v>-0.2</v>
      </c>
      <c r="F49" s="38"/>
      <c r="G49" s="40">
        <v>20</v>
      </c>
      <c r="H49" s="38"/>
      <c r="I49" s="41" t="s">
        <v>415</v>
      </c>
      <c r="K49" s="43"/>
      <c r="L49" s="43"/>
      <c r="M49" s="43"/>
      <c r="N49" s="43"/>
    </row>
    <row r="50" spans="2:14" s="39" customFormat="1">
      <c r="B50" s="40" t="s">
        <v>511</v>
      </c>
      <c r="C50" s="40" t="s">
        <v>512</v>
      </c>
      <c r="D50" s="40" t="s">
        <v>498</v>
      </c>
      <c r="E50" s="40">
        <v>-0.9</v>
      </c>
      <c r="F50" s="38"/>
      <c r="G50" s="40">
        <v>20</v>
      </c>
      <c r="H50" s="38"/>
      <c r="I50" s="41" t="s">
        <v>415</v>
      </c>
      <c r="K50" s="43"/>
      <c r="L50" s="43"/>
      <c r="M50" s="43"/>
      <c r="N50" s="43"/>
    </row>
  </sheetData>
  <mergeCells count="2">
    <mergeCell ref="E2:G2"/>
    <mergeCell ref="L2: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RW_HOLDING_REGISTER</vt:lpstr>
      <vt:lpstr>READ DISCRETE INPUT</vt:lpstr>
      <vt:lpstr>RULES</vt:lpstr>
      <vt:lpstr>Ref.Val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Maztono</dc:creator>
  <cp:lastModifiedBy>Maztono</cp:lastModifiedBy>
  <cp:lastPrinted>2020-12-13T22:16:22Z</cp:lastPrinted>
  <dcterms:created xsi:type="dcterms:W3CDTF">2020-12-12T06:23:34Z</dcterms:created>
  <dcterms:modified xsi:type="dcterms:W3CDTF">2020-12-24T01:14:08Z</dcterms:modified>
</cp:coreProperties>
</file>